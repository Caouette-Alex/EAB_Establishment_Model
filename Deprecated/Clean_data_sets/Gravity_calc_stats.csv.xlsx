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p\OneDrive - University of New Brunswick\Grad Studies\Modelling_transport_pathways\Clean_data_sets\"/>
    </mc:Choice>
  </mc:AlternateContent>
  <xr:revisionPtr revIDLastSave="0" documentId="13_ncr:40009_{DC43DCB4-A04B-4ABA-ABFC-8BD3AB877A5B}" xr6:coauthVersionLast="46" xr6:coauthVersionMax="46" xr10:uidLastSave="{00000000-0000-0000-0000-000000000000}"/>
  <bookViews>
    <workbookView xWindow="-110" yWindow="-110" windowWidth="19420" windowHeight="10420"/>
  </bookViews>
  <sheets>
    <sheet name="Gravity_calc" sheetId="1" r:id="rId1"/>
    <sheet name="Sum" sheetId="3" r:id="rId2"/>
    <sheet name="Mean and median" sheetId="2" r:id="rId3"/>
    <sheet name="Mean and median (log transform)" sheetId="4" r:id="rId4"/>
  </sheets>
  <definedNames>
    <definedName name="_xlchart.v1.0" hidden="1">Gravity_calc!$H$1</definedName>
    <definedName name="_xlchart.v1.1" hidden="1">Gravity_calc!$H$1:$L$1</definedName>
    <definedName name="_xlchart.v1.10" hidden="1">Gravity_calc!$L$2:$L$201</definedName>
    <definedName name="_xlchart.v1.11" hidden="1">Gravity_calc!$B$1</definedName>
    <definedName name="_xlchart.v1.12" hidden="1">Gravity_calc!$B$2:$B$201</definedName>
    <definedName name="_xlchart.v1.13" hidden="1">Gravity_calc!$C$1</definedName>
    <definedName name="_xlchart.v1.14" hidden="1">Gravity_calc!$C$2:$C$201</definedName>
    <definedName name="_xlchart.v1.15" hidden="1">Gravity_calc!$D$1</definedName>
    <definedName name="_xlchart.v1.16" hidden="1">Gravity_calc!$D$2:$D$201</definedName>
    <definedName name="_xlchart.v1.17" hidden="1">Gravity_calc!$E$1</definedName>
    <definedName name="_xlchart.v1.18" hidden="1">Gravity_calc!$E$2:$E$201</definedName>
    <definedName name="_xlchart.v1.19" hidden="1">Gravity_calc!$F$1</definedName>
    <definedName name="_xlchart.v1.2" hidden="1">Gravity_calc!$H$2:$H$201</definedName>
    <definedName name="_xlchart.v1.20" hidden="1">Gravity_calc!$F$2:$F$201</definedName>
    <definedName name="_xlchart.v1.21" hidden="1">Gravity_calc!$H$1</definedName>
    <definedName name="_xlchart.v1.22" hidden="1">Gravity_calc!$H$2:$H$201</definedName>
    <definedName name="_xlchart.v1.23" hidden="1">Gravity_calc!$I$1</definedName>
    <definedName name="_xlchart.v1.24" hidden="1">Gravity_calc!$I$2:$I$201</definedName>
    <definedName name="_xlchart.v1.25" hidden="1">Gravity_calc!$J$1</definedName>
    <definedName name="_xlchart.v1.26" hidden="1">Gravity_calc!$J$2:$J$201</definedName>
    <definedName name="_xlchart.v1.27" hidden="1">Gravity_calc!$K$1</definedName>
    <definedName name="_xlchart.v1.28" hidden="1">Gravity_calc!$K$2:$K$201</definedName>
    <definedName name="_xlchart.v1.29" hidden="1">Gravity_calc!$L$1</definedName>
    <definedName name="_xlchart.v1.3" hidden="1">Gravity_calc!$I$1</definedName>
    <definedName name="_xlchart.v1.30" hidden="1">Gravity_calc!$L$2:$L$201</definedName>
    <definedName name="_xlchart.v1.4" hidden="1">Gravity_calc!$I$2:$I$201</definedName>
    <definedName name="_xlchart.v1.5" hidden="1">Gravity_calc!$J$1</definedName>
    <definedName name="_xlchart.v1.6" hidden="1">Gravity_calc!$J$2:$J$201</definedName>
    <definedName name="_xlchart.v1.7" hidden="1">Gravity_calc!$K$1</definedName>
    <definedName name="_xlchart.v1.8" hidden="1">Gravity_calc!$K$2:$K$201</definedName>
    <definedName name="_xlchart.v1.9" hidden="1">Gravity_calc!$L$1</definedName>
  </definedNames>
  <calcPr calcId="0"/>
</workbook>
</file>

<file path=xl/calcChain.xml><?xml version="1.0" encoding="utf-8"?>
<calcChain xmlns="http://schemas.openxmlformats.org/spreadsheetml/2006/main">
  <c r="I2" i="1" l="1"/>
  <c r="J2" i="1"/>
  <c r="K2" i="1"/>
  <c r="L2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3" i="1"/>
  <c r="J13" i="1"/>
  <c r="K13" i="1"/>
  <c r="L13" i="1"/>
  <c r="I14" i="1"/>
  <c r="J14" i="1"/>
  <c r="K14" i="1"/>
  <c r="L14" i="1"/>
  <c r="I15" i="1"/>
  <c r="J15" i="1"/>
  <c r="K15" i="1"/>
  <c r="L15" i="1"/>
  <c r="I16" i="1"/>
  <c r="J16" i="1"/>
  <c r="K16" i="1"/>
  <c r="L16" i="1"/>
  <c r="I17" i="1"/>
  <c r="J17" i="1"/>
  <c r="K17" i="1"/>
  <c r="L17" i="1"/>
  <c r="I18" i="1"/>
  <c r="J18" i="1"/>
  <c r="K18" i="1"/>
  <c r="L18" i="1"/>
  <c r="I19" i="1"/>
  <c r="J19" i="1"/>
  <c r="K19" i="1"/>
  <c r="L19" i="1"/>
  <c r="I20" i="1"/>
  <c r="J20" i="1"/>
  <c r="K20" i="1"/>
  <c r="L20" i="1"/>
  <c r="I21" i="1"/>
  <c r="J21" i="1"/>
  <c r="K21" i="1"/>
  <c r="L21" i="1"/>
  <c r="I22" i="1"/>
  <c r="J22" i="1"/>
  <c r="K22" i="1"/>
  <c r="L22" i="1"/>
  <c r="I23" i="1"/>
  <c r="J23" i="1"/>
  <c r="K23" i="1"/>
  <c r="L23" i="1"/>
  <c r="I24" i="1"/>
  <c r="J24" i="1"/>
  <c r="K24" i="1"/>
  <c r="L24" i="1"/>
  <c r="I25" i="1"/>
  <c r="J25" i="1"/>
  <c r="K25" i="1"/>
  <c r="L25" i="1"/>
  <c r="I26" i="1"/>
  <c r="J26" i="1"/>
  <c r="K26" i="1"/>
  <c r="L26" i="1"/>
  <c r="I27" i="1"/>
  <c r="J27" i="1"/>
  <c r="K27" i="1"/>
  <c r="L27" i="1"/>
  <c r="I28" i="1"/>
  <c r="J28" i="1"/>
  <c r="K28" i="1"/>
  <c r="L28" i="1"/>
  <c r="I29" i="1"/>
  <c r="J29" i="1"/>
  <c r="K29" i="1"/>
  <c r="L29" i="1"/>
  <c r="I30" i="1"/>
  <c r="J30" i="1"/>
  <c r="K30" i="1"/>
  <c r="L30" i="1"/>
  <c r="I31" i="1"/>
  <c r="J31" i="1"/>
  <c r="K31" i="1"/>
  <c r="L31" i="1"/>
  <c r="I32" i="1"/>
  <c r="J32" i="1"/>
  <c r="K32" i="1"/>
  <c r="L32" i="1"/>
  <c r="I33" i="1"/>
  <c r="J33" i="1"/>
  <c r="K33" i="1"/>
  <c r="L33" i="1"/>
  <c r="I34" i="1"/>
  <c r="J34" i="1"/>
  <c r="K34" i="1"/>
  <c r="L34" i="1"/>
  <c r="I35" i="1"/>
  <c r="J35" i="1"/>
  <c r="K35" i="1"/>
  <c r="L35" i="1"/>
  <c r="I36" i="1"/>
  <c r="J36" i="1"/>
  <c r="K36" i="1"/>
  <c r="L36" i="1"/>
  <c r="I37" i="1"/>
  <c r="J37" i="1"/>
  <c r="K37" i="1"/>
  <c r="L37" i="1"/>
  <c r="I38" i="1"/>
  <c r="J38" i="1"/>
  <c r="K38" i="1"/>
  <c r="L38" i="1"/>
  <c r="I39" i="1"/>
  <c r="J39" i="1"/>
  <c r="K39" i="1"/>
  <c r="L39" i="1"/>
  <c r="I40" i="1"/>
  <c r="J40" i="1"/>
  <c r="K40" i="1"/>
  <c r="L40" i="1"/>
  <c r="I41" i="1"/>
  <c r="J41" i="1"/>
  <c r="K41" i="1"/>
  <c r="L41" i="1"/>
  <c r="I42" i="1"/>
  <c r="J42" i="1"/>
  <c r="K42" i="1"/>
  <c r="L42" i="1"/>
  <c r="I43" i="1"/>
  <c r="J43" i="1"/>
  <c r="K43" i="1"/>
  <c r="L43" i="1"/>
  <c r="I44" i="1"/>
  <c r="J44" i="1"/>
  <c r="K44" i="1"/>
  <c r="L44" i="1"/>
  <c r="I45" i="1"/>
  <c r="J45" i="1"/>
  <c r="K45" i="1"/>
  <c r="L45" i="1"/>
  <c r="I46" i="1"/>
  <c r="J46" i="1"/>
  <c r="K46" i="1"/>
  <c r="L46" i="1"/>
  <c r="I47" i="1"/>
  <c r="J47" i="1"/>
  <c r="K47" i="1"/>
  <c r="L47" i="1"/>
  <c r="I48" i="1"/>
  <c r="J48" i="1"/>
  <c r="K48" i="1"/>
  <c r="L48" i="1"/>
  <c r="I49" i="1"/>
  <c r="J49" i="1"/>
  <c r="K49" i="1"/>
  <c r="L49" i="1"/>
  <c r="I50" i="1"/>
  <c r="J50" i="1"/>
  <c r="K50" i="1"/>
  <c r="L50" i="1"/>
  <c r="I51" i="1"/>
  <c r="J51" i="1"/>
  <c r="K51" i="1"/>
  <c r="L51" i="1"/>
  <c r="I52" i="1"/>
  <c r="J52" i="1"/>
  <c r="K52" i="1"/>
  <c r="L52" i="1"/>
  <c r="I53" i="1"/>
  <c r="J53" i="1"/>
  <c r="K53" i="1"/>
  <c r="L53" i="1"/>
  <c r="I54" i="1"/>
  <c r="J54" i="1"/>
  <c r="K54" i="1"/>
  <c r="L54" i="1"/>
  <c r="I55" i="1"/>
  <c r="J55" i="1"/>
  <c r="K55" i="1"/>
  <c r="L55" i="1"/>
  <c r="I56" i="1"/>
  <c r="J56" i="1"/>
  <c r="K56" i="1"/>
  <c r="L56" i="1"/>
  <c r="I57" i="1"/>
  <c r="J57" i="1"/>
  <c r="K57" i="1"/>
  <c r="L57" i="1"/>
  <c r="I58" i="1"/>
  <c r="J58" i="1"/>
  <c r="K58" i="1"/>
  <c r="L58" i="1"/>
  <c r="I59" i="1"/>
  <c r="J59" i="1"/>
  <c r="K59" i="1"/>
  <c r="L59" i="1"/>
  <c r="I60" i="1"/>
  <c r="J60" i="1"/>
  <c r="K60" i="1"/>
  <c r="L60" i="1"/>
  <c r="I61" i="1"/>
  <c r="J61" i="1"/>
  <c r="K61" i="1"/>
  <c r="L61" i="1"/>
  <c r="I62" i="1"/>
  <c r="J62" i="1"/>
  <c r="K62" i="1"/>
  <c r="L62" i="1"/>
  <c r="I63" i="1"/>
  <c r="J63" i="1"/>
  <c r="K63" i="1"/>
  <c r="L63" i="1"/>
  <c r="I64" i="1"/>
  <c r="J64" i="1"/>
  <c r="K64" i="1"/>
  <c r="L64" i="1"/>
  <c r="I65" i="1"/>
  <c r="J65" i="1"/>
  <c r="K65" i="1"/>
  <c r="L65" i="1"/>
  <c r="I66" i="1"/>
  <c r="J66" i="1"/>
  <c r="K66" i="1"/>
  <c r="L66" i="1"/>
  <c r="I67" i="1"/>
  <c r="J67" i="1"/>
  <c r="K67" i="1"/>
  <c r="L67" i="1"/>
  <c r="I68" i="1"/>
  <c r="J68" i="1"/>
  <c r="K68" i="1"/>
  <c r="L68" i="1"/>
  <c r="I69" i="1"/>
  <c r="J69" i="1"/>
  <c r="K69" i="1"/>
  <c r="L69" i="1"/>
  <c r="I70" i="1"/>
  <c r="J70" i="1"/>
  <c r="K70" i="1"/>
  <c r="L70" i="1"/>
  <c r="I71" i="1"/>
  <c r="J71" i="1"/>
  <c r="K71" i="1"/>
  <c r="L71" i="1"/>
  <c r="I72" i="1"/>
  <c r="J72" i="1"/>
  <c r="K72" i="1"/>
  <c r="L72" i="1"/>
  <c r="I73" i="1"/>
  <c r="J73" i="1"/>
  <c r="K73" i="1"/>
  <c r="L73" i="1"/>
  <c r="I74" i="1"/>
  <c r="J74" i="1"/>
  <c r="K74" i="1"/>
  <c r="L74" i="1"/>
  <c r="I75" i="1"/>
  <c r="J75" i="1"/>
  <c r="K75" i="1"/>
  <c r="L75" i="1"/>
  <c r="I76" i="1"/>
  <c r="J76" i="1"/>
  <c r="K76" i="1"/>
  <c r="L76" i="1"/>
  <c r="I77" i="1"/>
  <c r="J77" i="1"/>
  <c r="K77" i="1"/>
  <c r="L77" i="1"/>
  <c r="I78" i="1"/>
  <c r="J78" i="1"/>
  <c r="K78" i="1"/>
  <c r="L78" i="1"/>
  <c r="I79" i="1"/>
  <c r="J79" i="1"/>
  <c r="K79" i="1"/>
  <c r="L79" i="1"/>
  <c r="I80" i="1"/>
  <c r="J80" i="1"/>
  <c r="K80" i="1"/>
  <c r="L80" i="1"/>
  <c r="I81" i="1"/>
  <c r="J81" i="1"/>
  <c r="K81" i="1"/>
  <c r="L81" i="1"/>
  <c r="I82" i="1"/>
  <c r="J82" i="1"/>
  <c r="K82" i="1"/>
  <c r="L82" i="1"/>
  <c r="I83" i="1"/>
  <c r="J83" i="1"/>
  <c r="K83" i="1"/>
  <c r="L83" i="1"/>
  <c r="I84" i="1"/>
  <c r="J84" i="1"/>
  <c r="K84" i="1"/>
  <c r="L84" i="1"/>
  <c r="I85" i="1"/>
  <c r="J85" i="1"/>
  <c r="K85" i="1"/>
  <c r="L85" i="1"/>
  <c r="I86" i="1"/>
  <c r="J86" i="1"/>
  <c r="K86" i="1"/>
  <c r="L86" i="1"/>
  <c r="I87" i="1"/>
  <c r="J87" i="1"/>
  <c r="K87" i="1"/>
  <c r="L87" i="1"/>
  <c r="I88" i="1"/>
  <c r="J88" i="1"/>
  <c r="K88" i="1"/>
  <c r="L88" i="1"/>
  <c r="I89" i="1"/>
  <c r="J89" i="1"/>
  <c r="K89" i="1"/>
  <c r="L89" i="1"/>
  <c r="I90" i="1"/>
  <c r="J90" i="1"/>
  <c r="K90" i="1"/>
  <c r="L90" i="1"/>
  <c r="I91" i="1"/>
  <c r="J91" i="1"/>
  <c r="K91" i="1"/>
  <c r="L91" i="1"/>
  <c r="I92" i="1"/>
  <c r="J92" i="1"/>
  <c r="K92" i="1"/>
  <c r="L92" i="1"/>
  <c r="I93" i="1"/>
  <c r="J93" i="1"/>
  <c r="K93" i="1"/>
  <c r="L93" i="1"/>
  <c r="I94" i="1"/>
  <c r="J94" i="1"/>
  <c r="K94" i="1"/>
  <c r="L94" i="1"/>
  <c r="I95" i="1"/>
  <c r="J95" i="1"/>
  <c r="K95" i="1"/>
  <c r="L95" i="1"/>
  <c r="I96" i="1"/>
  <c r="J96" i="1"/>
  <c r="K96" i="1"/>
  <c r="L96" i="1"/>
  <c r="I97" i="1"/>
  <c r="J97" i="1"/>
  <c r="K97" i="1"/>
  <c r="L97" i="1"/>
  <c r="I98" i="1"/>
  <c r="J98" i="1"/>
  <c r="K98" i="1"/>
  <c r="L98" i="1"/>
  <c r="I99" i="1"/>
  <c r="J99" i="1"/>
  <c r="K99" i="1"/>
  <c r="L99" i="1"/>
  <c r="I100" i="1"/>
  <c r="J100" i="1"/>
  <c r="K100" i="1"/>
  <c r="L100" i="1"/>
  <c r="I101" i="1"/>
  <c r="J101" i="1"/>
  <c r="K101" i="1"/>
  <c r="L101" i="1"/>
  <c r="I102" i="1"/>
  <c r="J102" i="1"/>
  <c r="K102" i="1"/>
  <c r="L102" i="1"/>
  <c r="I103" i="1"/>
  <c r="J103" i="1"/>
  <c r="K103" i="1"/>
  <c r="L103" i="1"/>
  <c r="I104" i="1"/>
  <c r="J104" i="1"/>
  <c r="K104" i="1"/>
  <c r="L104" i="1"/>
  <c r="I105" i="1"/>
  <c r="J105" i="1"/>
  <c r="K105" i="1"/>
  <c r="L105" i="1"/>
  <c r="I106" i="1"/>
  <c r="J106" i="1"/>
  <c r="K106" i="1"/>
  <c r="L106" i="1"/>
  <c r="I107" i="1"/>
  <c r="J107" i="1"/>
  <c r="K107" i="1"/>
  <c r="L107" i="1"/>
  <c r="I108" i="1"/>
  <c r="J108" i="1"/>
  <c r="K108" i="1"/>
  <c r="L108" i="1"/>
  <c r="I109" i="1"/>
  <c r="J109" i="1"/>
  <c r="K109" i="1"/>
  <c r="L109" i="1"/>
  <c r="I110" i="1"/>
  <c r="J110" i="1"/>
  <c r="K110" i="1"/>
  <c r="L110" i="1"/>
  <c r="I111" i="1"/>
  <c r="J111" i="1"/>
  <c r="K111" i="1"/>
  <c r="L111" i="1"/>
  <c r="I112" i="1"/>
  <c r="J112" i="1"/>
  <c r="K112" i="1"/>
  <c r="L112" i="1"/>
  <c r="I113" i="1"/>
  <c r="J113" i="1"/>
  <c r="K113" i="1"/>
  <c r="L113" i="1"/>
  <c r="I114" i="1"/>
  <c r="J114" i="1"/>
  <c r="K114" i="1"/>
  <c r="L114" i="1"/>
  <c r="I115" i="1"/>
  <c r="J115" i="1"/>
  <c r="K115" i="1"/>
  <c r="L115" i="1"/>
  <c r="I116" i="1"/>
  <c r="J116" i="1"/>
  <c r="K116" i="1"/>
  <c r="L116" i="1"/>
  <c r="I117" i="1"/>
  <c r="J117" i="1"/>
  <c r="K117" i="1"/>
  <c r="L117" i="1"/>
  <c r="I118" i="1"/>
  <c r="J118" i="1"/>
  <c r="K118" i="1"/>
  <c r="L118" i="1"/>
  <c r="I119" i="1"/>
  <c r="J119" i="1"/>
  <c r="K119" i="1"/>
  <c r="L119" i="1"/>
  <c r="I120" i="1"/>
  <c r="J120" i="1"/>
  <c r="K120" i="1"/>
  <c r="L120" i="1"/>
  <c r="I121" i="1"/>
  <c r="J121" i="1"/>
  <c r="K121" i="1"/>
  <c r="L121" i="1"/>
  <c r="I122" i="1"/>
  <c r="J122" i="1"/>
  <c r="K122" i="1"/>
  <c r="L122" i="1"/>
  <c r="I123" i="1"/>
  <c r="J123" i="1"/>
  <c r="K123" i="1"/>
  <c r="L123" i="1"/>
  <c r="I124" i="1"/>
  <c r="J124" i="1"/>
  <c r="K124" i="1"/>
  <c r="L124" i="1"/>
  <c r="I125" i="1"/>
  <c r="J125" i="1"/>
  <c r="K125" i="1"/>
  <c r="L125" i="1"/>
  <c r="I126" i="1"/>
  <c r="J126" i="1"/>
  <c r="K126" i="1"/>
  <c r="L126" i="1"/>
  <c r="I127" i="1"/>
  <c r="J127" i="1"/>
  <c r="K127" i="1"/>
  <c r="L127" i="1"/>
  <c r="I128" i="1"/>
  <c r="J128" i="1"/>
  <c r="K128" i="1"/>
  <c r="L128" i="1"/>
  <c r="I129" i="1"/>
  <c r="J129" i="1"/>
  <c r="K129" i="1"/>
  <c r="L129" i="1"/>
  <c r="I130" i="1"/>
  <c r="J130" i="1"/>
  <c r="K130" i="1"/>
  <c r="L130" i="1"/>
  <c r="I131" i="1"/>
  <c r="J131" i="1"/>
  <c r="K131" i="1"/>
  <c r="L131" i="1"/>
  <c r="I132" i="1"/>
  <c r="J132" i="1"/>
  <c r="K132" i="1"/>
  <c r="L132" i="1"/>
  <c r="I133" i="1"/>
  <c r="J133" i="1"/>
  <c r="K133" i="1"/>
  <c r="L133" i="1"/>
  <c r="I134" i="1"/>
  <c r="J134" i="1"/>
  <c r="K134" i="1"/>
  <c r="L134" i="1"/>
  <c r="I135" i="1"/>
  <c r="J135" i="1"/>
  <c r="K135" i="1"/>
  <c r="L135" i="1"/>
  <c r="I136" i="1"/>
  <c r="J136" i="1"/>
  <c r="K136" i="1"/>
  <c r="L136" i="1"/>
  <c r="I137" i="1"/>
  <c r="J137" i="1"/>
  <c r="K137" i="1"/>
  <c r="L137" i="1"/>
  <c r="I138" i="1"/>
  <c r="J138" i="1"/>
  <c r="K138" i="1"/>
  <c r="L138" i="1"/>
  <c r="I139" i="1"/>
  <c r="J139" i="1"/>
  <c r="K139" i="1"/>
  <c r="L139" i="1"/>
  <c r="I140" i="1"/>
  <c r="J140" i="1"/>
  <c r="K140" i="1"/>
  <c r="L140" i="1"/>
  <c r="I141" i="1"/>
  <c r="J141" i="1"/>
  <c r="K141" i="1"/>
  <c r="L141" i="1"/>
  <c r="I142" i="1"/>
  <c r="J142" i="1"/>
  <c r="K142" i="1"/>
  <c r="L142" i="1"/>
  <c r="I143" i="1"/>
  <c r="J143" i="1"/>
  <c r="K143" i="1"/>
  <c r="L143" i="1"/>
  <c r="I144" i="1"/>
  <c r="J144" i="1"/>
  <c r="K144" i="1"/>
  <c r="L144" i="1"/>
  <c r="I145" i="1"/>
  <c r="J145" i="1"/>
  <c r="K145" i="1"/>
  <c r="L145" i="1"/>
  <c r="I146" i="1"/>
  <c r="J146" i="1"/>
  <c r="K146" i="1"/>
  <c r="L146" i="1"/>
  <c r="I147" i="1"/>
  <c r="J147" i="1"/>
  <c r="K147" i="1"/>
  <c r="L147" i="1"/>
  <c r="I148" i="1"/>
  <c r="J148" i="1"/>
  <c r="K148" i="1"/>
  <c r="L148" i="1"/>
  <c r="I149" i="1"/>
  <c r="J149" i="1"/>
  <c r="K149" i="1"/>
  <c r="L149" i="1"/>
  <c r="I150" i="1"/>
  <c r="J150" i="1"/>
  <c r="K150" i="1"/>
  <c r="L150" i="1"/>
  <c r="I151" i="1"/>
  <c r="J151" i="1"/>
  <c r="K151" i="1"/>
  <c r="L151" i="1"/>
  <c r="I152" i="1"/>
  <c r="J152" i="1"/>
  <c r="K152" i="1"/>
  <c r="L152" i="1"/>
  <c r="I153" i="1"/>
  <c r="J153" i="1"/>
  <c r="K153" i="1"/>
  <c r="L153" i="1"/>
  <c r="I154" i="1"/>
  <c r="J154" i="1"/>
  <c r="K154" i="1"/>
  <c r="L154" i="1"/>
  <c r="I155" i="1"/>
  <c r="J155" i="1"/>
  <c r="K155" i="1"/>
  <c r="L155" i="1"/>
  <c r="I156" i="1"/>
  <c r="J156" i="1"/>
  <c r="K156" i="1"/>
  <c r="L156" i="1"/>
  <c r="I157" i="1"/>
  <c r="J157" i="1"/>
  <c r="K157" i="1"/>
  <c r="L157" i="1"/>
  <c r="I158" i="1"/>
  <c r="J158" i="1"/>
  <c r="K158" i="1"/>
  <c r="L158" i="1"/>
  <c r="I159" i="1"/>
  <c r="J159" i="1"/>
  <c r="K159" i="1"/>
  <c r="L159" i="1"/>
  <c r="I160" i="1"/>
  <c r="J160" i="1"/>
  <c r="K160" i="1"/>
  <c r="L160" i="1"/>
  <c r="I161" i="1"/>
  <c r="J161" i="1"/>
  <c r="K161" i="1"/>
  <c r="L161" i="1"/>
  <c r="I162" i="1"/>
  <c r="J162" i="1"/>
  <c r="K162" i="1"/>
  <c r="L162" i="1"/>
  <c r="I163" i="1"/>
  <c r="J163" i="1"/>
  <c r="K163" i="1"/>
  <c r="L163" i="1"/>
  <c r="I164" i="1"/>
  <c r="J164" i="1"/>
  <c r="K164" i="1"/>
  <c r="L164" i="1"/>
  <c r="I165" i="1"/>
  <c r="J165" i="1"/>
  <c r="K165" i="1"/>
  <c r="L165" i="1"/>
  <c r="I166" i="1"/>
  <c r="J166" i="1"/>
  <c r="K166" i="1"/>
  <c r="L166" i="1"/>
  <c r="I167" i="1"/>
  <c r="J167" i="1"/>
  <c r="K167" i="1"/>
  <c r="L167" i="1"/>
  <c r="I168" i="1"/>
  <c r="J168" i="1"/>
  <c r="K168" i="1"/>
  <c r="L168" i="1"/>
  <c r="I169" i="1"/>
  <c r="J169" i="1"/>
  <c r="K169" i="1"/>
  <c r="L169" i="1"/>
  <c r="I170" i="1"/>
  <c r="J170" i="1"/>
  <c r="K170" i="1"/>
  <c r="L170" i="1"/>
  <c r="I171" i="1"/>
  <c r="J171" i="1"/>
  <c r="K171" i="1"/>
  <c r="L171" i="1"/>
  <c r="I172" i="1"/>
  <c r="J172" i="1"/>
  <c r="K172" i="1"/>
  <c r="L172" i="1"/>
  <c r="I173" i="1"/>
  <c r="J173" i="1"/>
  <c r="K173" i="1"/>
  <c r="L173" i="1"/>
  <c r="I174" i="1"/>
  <c r="J174" i="1"/>
  <c r="K174" i="1"/>
  <c r="L174" i="1"/>
  <c r="I175" i="1"/>
  <c r="J175" i="1"/>
  <c r="K175" i="1"/>
  <c r="L175" i="1"/>
  <c r="I176" i="1"/>
  <c r="J176" i="1"/>
  <c r="K176" i="1"/>
  <c r="L176" i="1"/>
  <c r="I177" i="1"/>
  <c r="J177" i="1"/>
  <c r="K177" i="1"/>
  <c r="L177" i="1"/>
  <c r="I178" i="1"/>
  <c r="J178" i="1"/>
  <c r="K178" i="1"/>
  <c r="L178" i="1"/>
  <c r="I179" i="1"/>
  <c r="J179" i="1"/>
  <c r="K179" i="1"/>
  <c r="L179" i="1"/>
  <c r="I180" i="1"/>
  <c r="J180" i="1"/>
  <c r="K180" i="1"/>
  <c r="L180" i="1"/>
  <c r="I181" i="1"/>
  <c r="J181" i="1"/>
  <c r="K181" i="1"/>
  <c r="L181" i="1"/>
  <c r="I182" i="1"/>
  <c r="J182" i="1"/>
  <c r="K182" i="1"/>
  <c r="L182" i="1"/>
  <c r="I183" i="1"/>
  <c r="J183" i="1"/>
  <c r="K183" i="1"/>
  <c r="L183" i="1"/>
  <c r="I184" i="1"/>
  <c r="J184" i="1"/>
  <c r="K184" i="1"/>
  <c r="L184" i="1"/>
  <c r="I185" i="1"/>
  <c r="J185" i="1"/>
  <c r="K185" i="1"/>
  <c r="L185" i="1"/>
  <c r="I186" i="1"/>
  <c r="J186" i="1"/>
  <c r="K186" i="1"/>
  <c r="L186" i="1"/>
  <c r="I187" i="1"/>
  <c r="J187" i="1"/>
  <c r="K187" i="1"/>
  <c r="L187" i="1"/>
  <c r="I188" i="1"/>
  <c r="J188" i="1"/>
  <c r="K188" i="1"/>
  <c r="L188" i="1"/>
  <c r="I189" i="1"/>
  <c r="J189" i="1"/>
  <c r="K189" i="1"/>
  <c r="L189" i="1"/>
  <c r="I190" i="1"/>
  <c r="J190" i="1"/>
  <c r="K190" i="1"/>
  <c r="L190" i="1"/>
  <c r="I191" i="1"/>
  <c r="J191" i="1"/>
  <c r="K191" i="1"/>
  <c r="L191" i="1"/>
  <c r="I192" i="1"/>
  <c r="J192" i="1"/>
  <c r="K192" i="1"/>
  <c r="L192" i="1"/>
  <c r="I193" i="1"/>
  <c r="J193" i="1"/>
  <c r="K193" i="1"/>
  <c r="L193" i="1"/>
  <c r="I194" i="1"/>
  <c r="J194" i="1"/>
  <c r="K194" i="1"/>
  <c r="L194" i="1"/>
  <c r="I195" i="1"/>
  <c r="J195" i="1"/>
  <c r="K195" i="1"/>
  <c r="L195" i="1"/>
  <c r="I196" i="1"/>
  <c r="J196" i="1"/>
  <c r="K196" i="1"/>
  <c r="L196" i="1"/>
  <c r="I197" i="1"/>
  <c r="J197" i="1"/>
  <c r="K197" i="1"/>
  <c r="L197" i="1"/>
  <c r="I198" i="1"/>
  <c r="J198" i="1"/>
  <c r="K198" i="1"/>
  <c r="L198" i="1"/>
  <c r="I199" i="1"/>
  <c r="J199" i="1"/>
  <c r="K199" i="1"/>
  <c r="L199" i="1"/>
  <c r="I200" i="1"/>
  <c r="J200" i="1"/>
  <c r="K200" i="1"/>
  <c r="L200" i="1"/>
  <c r="I201" i="1"/>
  <c r="J201" i="1"/>
  <c r="K201" i="1"/>
  <c r="L2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" i="1"/>
  <c r="C208" i="1"/>
  <c r="D208" i="1"/>
  <c r="E208" i="1"/>
  <c r="F208" i="1"/>
  <c r="C207" i="1"/>
  <c r="D207" i="1"/>
  <c r="E207" i="1"/>
  <c r="F207" i="1"/>
  <c r="B207" i="1"/>
  <c r="B208" i="1" s="1"/>
  <c r="B206" i="1"/>
  <c r="C206" i="1"/>
  <c r="D206" i="1"/>
  <c r="E206" i="1"/>
  <c r="F206" i="1"/>
  <c r="B205" i="1"/>
  <c r="C205" i="1"/>
  <c r="D205" i="1"/>
  <c r="E205" i="1"/>
  <c r="F205" i="1"/>
</calcChain>
</file>

<file path=xl/sharedStrings.xml><?xml version="1.0" encoding="utf-8"?>
<sst xmlns="http://schemas.openxmlformats.org/spreadsheetml/2006/main" count="213" uniqueCount="208">
  <si>
    <t>Bedford</t>
  </si>
  <si>
    <t>Edmunston</t>
  </si>
  <si>
    <t>Fredericton</t>
  </si>
  <si>
    <t>Moncton</t>
  </si>
  <si>
    <t>Oromocto</t>
  </si>
  <si>
    <t>ADDA Fundy Tides CG- City</t>
  </si>
  <si>
    <t>Adventures East Campground &amp; Cottages</t>
  </si>
  <si>
    <t>All Done Camping</t>
  </si>
  <si>
    <t>All Points East Campground</t>
  </si>
  <si>
    <t>Amherst Shore Provincial Park</t>
  </si>
  <si>
    <t>Anchorage Provincial Park</t>
  </si>
  <si>
    <t>Armstrong Brook-Mount Carleton Provincial Park</t>
  </si>
  <si>
    <t>Baddeck Cabot Trail Campground</t>
  </si>
  <si>
    <t>Battery Provincial Park</t>
  </si>
  <si>
    <t>Bear Falls Wilderness Campground</t>
  </si>
  <si>
    <t>BeechBrook Campground</t>
  </si>
  <si>
    <t>Belle Baie Park</t>
  </si>
  <si>
    <t>Ben Eoine Beach RV Resort &amp; Campground</t>
  </si>
  <si>
    <t>Ben's Lake Campground &amp; Chalet</t>
  </si>
  <si>
    <t>Big Intervale-Cape Breton Highlands National Park</t>
  </si>
  <si>
    <t>Birchwood Campground &amp; Cottages</t>
  </si>
  <si>
    <t>Blomidon Provincial Park</t>
  </si>
  <si>
    <t>Blue Heron Town Park</t>
  </si>
  <si>
    <t>Borden / Summerside KOA</t>
  </si>
  <si>
    <t>Bouctouche Baie</t>
  </si>
  <si>
    <t>Boylston Provincial Park</t>
  </si>
  <si>
    <t>Bras d'Or Lakes Campground</t>
  </si>
  <si>
    <t>Broad Cove-Cape Breton Highlands National Park</t>
  </si>
  <si>
    <t>Brudenell River Provincial Park</t>
  </si>
  <si>
    <t>Cabot Beach Provincial Park</t>
  </si>
  <si>
    <t>Cambridge Narrows</t>
  </si>
  <si>
    <t>Campbell's Cove Campground &amp; Cabins</t>
  </si>
  <si>
    <t>Camper's City RV Resort</t>
  </si>
  <si>
    <t>Camper's Haven Campground</t>
  </si>
  <si>
    <t>Camping Beausejour</t>
  </si>
  <si>
    <t>Camping Colibri sur Mer+Motel et Camping Colibri</t>
  </si>
  <si>
    <t>Camping DT</t>
  </si>
  <si>
    <t>Camping Murraywood Park</t>
  </si>
  <si>
    <t>Camping Panoramique</t>
  </si>
  <si>
    <t>Camping Pokemouche</t>
  </si>
  <si>
    <t>Camping Terre Rouge</t>
  </si>
  <si>
    <t>Cannontown- Fundy National Park</t>
  </si>
  <si>
    <t>Cape Chignecto Provincial Park</t>
  </si>
  <si>
    <t>Caribou Munroes Island Provincial Park</t>
  </si>
  <si>
    <t>Cavendish KOA</t>
  </si>
  <si>
    <t>Cavendish Sunset Campground</t>
  </si>
  <si>
    <t>Cavendish-Prince Edward Island National Park</t>
  </si>
  <si>
    <t>Cedar Dunes Provincial Park</t>
  </si>
  <si>
    <t>Century Farm Family Campground</t>
  </si>
  <si>
    <t>Chignecto North-Fundy National Park</t>
  </si>
  <si>
    <t>Church Point Campground</t>
  </si>
  <si>
    <t>ChÃ©ticamp-Cape Breton Highlands National Park</t>
  </si>
  <si>
    <t>Corney Brook- Cape Breton Highlands National Park</t>
  </si>
  <si>
    <t>Cornwall / Charlottetown KOA</t>
  </si>
  <si>
    <t>Cote-a-Fabien- Kouchibouguac National Park</t>
  </si>
  <si>
    <t>Cranberry Campground</t>
  </si>
  <si>
    <t>Crystal Beach Campground</t>
  </si>
  <si>
    <t>Cymbria Campground</t>
  </si>
  <si>
    <t>Daigle Park</t>
  </si>
  <si>
    <t>Dollar Lake Provincial Park</t>
  </si>
  <si>
    <t>Dunromin Campsite and Cabins</t>
  </si>
  <si>
    <t>E&amp;F Webber Lakeside Park Ltd</t>
  </si>
  <si>
    <t>Eagle Ridge RV Park</t>
  </si>
  <si>
    <t>East River Lodge &amp; Campground</t>
  </si>
  <si>
    <t>Ellenwood Lake Provincial Park</t>
  </si>
  <si>
    <t>Elm River RV Park</t>
  </si>
  <si>
    <t>Enclosure Campground</t>
  </si>
  <si>
    <t>Everett's Campground</t>
  </si>
  <si>
    <t>Firefly Forest Campground</t>
  </si>
  <si>
    <t>Fishermans Cove RV &amp; Campground</t>
  </si>
  <si>
    <t>Five Islands Provincial Park</t>
  </si>
  <si>
    <t>Forevergreen Country Campground</t>
  </si>
  <si>
    <t>Franquelin - Mount Carleton Provincial Park</t>
  </si>
  <si>
    <t>Fundy Trail Campground &amp; Cottages</t>
  </si>
  <si>
    <t>Glenview Campground</t>
  </si>
  <si>
    <t>Gloosecap Campground &amp; RV</t>
  </si>
  <si>
    <t>Grand Lake Park</t>
  </si>
  <si>
    <t>Graves Island Provincial Park</t>
  </si>
  <si>
    <t>Great Bear Camping</t>
  </si>
  <si>
    <t>Green Park Provincial Park</t>
  </si>
  <si>
    <t>Halifax West KOA</t>
  </si>
  <si>
    <t>Harbour Light Campground</t>
  </si>
  <si>
    <t>Harrington Family Camping &amp; RV Park(Harrington Campground and RV Park)</t>
  </si>
  <si>
    <t>Headquarters-Fundy National Park</t>
  </si>
  <si>
    <t>Headwaters - Mount Carleton Provincial Park</t>
  </si>
  <si>
    <t>Heritage Country Camping</t>
  </si>
  <si>
    <t>Herring Cove- Provincial Park</t>
  </si>
  <si>
    <t>Hidden Hilltop Family Campground</t>
  </si>
  <si>
    <t>Hideaway campground and Oyster Market</t>
  </si>
  <si>
    <t>Highbury Gardens RV Park</t>
  </si>
  <si>
    <t>Hubbards Beach Campground &amp; Cottages</t>
  </si>
  <si>
    <t>Hyclass Ocean Campground</t>
  </si>
  <si>
    <t>Ile Lameque Municipal Park</t>
  </si>
  <si>
    <t>Inch Arran Park Camping</t>
  </si>
  <si>
    <t>Ingonish Beach-Cape Breton Highlands National Park</t>
  </si>
  <si>
    <t>Inverness Beach Village</t>
  </si>
  <si>
    <t>Jacques Cartier Provincial Park</t>
  </si>
  <si>
    <t>Jacquet River Village Park</t>
  </si>
  <si>
    <t>Jaggars Point Oceanfront Campground</t>
  </si>
  <si>
    <t>Jardine Municipal Park</t>
  </si>
  <si>
    <t>Jellystonespark Camp-Resort</t>
  </si>
  <si>
    <t>Jeremys Bay-Kejimkujik National Park</t>
  </si>
  <si>
    <t>Joyful Journeys</t>
  </si>
  <si>
    <t>KOK campgrounds</t>
  </si>
  <si>
    <t>Kiwanis Oceanfront CG</t>
  </si>
  <si>
    <t>Klahanie Kamping</t>
  </si>
  <si>
    <t>Kluskap Ridge RV &amp; Campground</t>
  </si>
  <si>
    <t>Lahave River Campground</t>
  </si>
  <si>
    <t>Land of Evangeline Camping Resort</t>
  </si>
  <si>
    <t>Laurie Provincial Park</t>
  </si>
  <si>
    <t>Linkletter Provincial Park</t>
  </si>
  <si>
    <t>Linwood Harbour Campground</t>
  </si>
  <si>
    <t>Little Lake Family Campground</t>
  </si>
  <si>
    <t>Live Life in Tents</t>
  </si>
  <si>
    <t>Loch Lomond Tent &amp; Trailer Park</t>
  </si>
  <si>
    <t>Lockeport Cottages &amp; Campground</t>
  </si>
  <si>
    <t>Look-Off Family Campground Park</t>
  </si>
  <si>
    <t>Lord Selkirk Provincial Park</t>
  </si>
  <si>
    <t>Lunenburg Board of Trade Campground</t>
  </si>
  <si>
    <t>MacIntosh Brook-Cape Breton Highlands National Park</t>
  </si>
  <si>
    <t>MacLeod's Beach &amp; Campsite</t>
  </si>
  <si>
    <t>Mactaquac Provincial Park</t>
  </si>
  <si>
    <t>Maple Leaf Motel, Campground and Restaurant</t>
  </si>
  <si>
    <t>Marco Polo Land</t>
  </si>
  <si>
    <t>Marina de Bas-Caraquet</t>
  </si>
  <si>
    <t>Mill River Provincial Park</t>
  </si>
  <si>
    <t>Mira River Provincial Park</t>
  </si>
  <si>
    <t>Mountain Top Cottages and Campground</t>
  </si>
  <si>
    <t>Murphy's Camping on the Ocean</t>
  </si>
  <si>
    <t>Murray Beach Provincial Park</t>
  </si>
  <si>
    <t>New Glasgow Highlands Camp/Cabins Camping</t>
  </si>
  <si>
    <t>New River Beach Provincial Park</t>
  </si>
  <si>
    <t>Norse Cove Camping</t>
  </si>
  <si>
    <t>North Head Campground and Park</t>
  </si>
  <si>
    <t>North Sydney / Cabot Trail KOA</t>
  </si>
  <si>
    <t>Northumberland Provincial Park</t>
  </si>
  <si>
    <t>Oakhill Pines Campground</t>
  </si>
  <si>
    <t>Oasis motel &amp; Campground</t>
  </si>
  <si>
    <t>Ocean Acres Cottages &amp; Campground</t>
  </si>
  <si>
    <t>OceanView Park</t>
  </si>
  <si>
    <t>Orchard Queen Motel &amp; RV Park</t>
  </si>
  <si>
    <t>Ovens Natural Park Family Campground</t>
  </si>
  <si>
    <t>Panmure Island Provincial Park</t>
  </si>
  <si>
    <t>Paradis de la Petite Montagne</t>
  </si>
  <si>
    <t>Parkville Campground</t>
  </si>
  <si>
    <t>Parlee Beach Provincial Park</t>
  </si>
  <si>
    <t>Petit-Large (backcountry) - Kouchibouguac National Park</t>
  </si>
  <si>
    <t>Pine Hills RV Park 1990 Ltd.</t>
  </si>
  <si>
    <t>Plantation Campground</t>
  </si>
  <si>
    <t>Point Wolfe-Fundy National Park</t>
  </si>
  <si>
    <t>Ponderosa Pines</t>
  </si>
  <si>
    <t>Porters Lake Provincial Park</t>
  </si>
  <si>
    <t>Raven Haven Beachside Family Park</t>
  </si>
  <si>
    <t>Rawdon Gold Mines Campground</t>
  </si>
  <si>
    <t>RayPort Campground</t>
  </si>
  <si>
    <t>Red Point Provincial Park</t>
  </si>
  <si>
    <t>Red Rock Retreat Campground</t>
  </si>
  <si>
    <t>Renfrew Campground</t>
  </si>
  <si>
    <t>Republique Provincial Park</t>
  </si>
  <si>
    <t>Rissers Beach Campground</t>
  </si>
  <si>
    <t>Rockwood Park-City</t>
  </si>
  <si>
    <t>Salsman Provincial Park</t>
  </si>
  <si>
    <t>Sandy Beach Tenting &amp; Trailer Park</t>
  </si>
  <si>
    <t>Scotia Pine Campground</t>
  </si>
  <si>
    <t>Seabreeze Campground &amp; Cottages</t>
  </si>
  <si>
    <t>Seafoam Campground</t>
  </si>
  <si>
    <t>Seal Cove Campground</t>
  </si>
  <si>
    <t>Sherwood Forest Camp Park</t>
  </si>
  <si>
    <t>Shippagan Town Park</t>
  </si>
  <si>
    <t>Shubie Campground</t>
  </si>
  <si>
    <t>Silver Sands Campground</t>
  </si>
  <si>
    <t>Smileys Provincial Park</t>
  </si>
  <si>
    <t>Somers by the Beach Campground</t>
  </si>
  <si>
    <t>South Kouchibouguac-Kouchibouguac National Park</t>
  </si>
  <si>
    <t>South Mountain Park Family Camping &amp; RV Resort</t>
  </si>
  <si>
    <t>Spry Bay Campground &amp; Cabins</t>
  </si>
  <si>
    <t>St. Peters Community Park</t>
  </si>
  <si>
    <t>Stanhope- Prince Edward Island National Park</t>
  </si>
  <si>
    <t>Stonehurst Camping</t>
  </si>
  <si>
    <t>Sugarloaf Provincial Park</t>
  </si>
  <si>
    <t>Sunbury-Oromocto Park</t>
  </si>
  <si>
    <t>Sunrise Campground</t>
  </si>
  <si>
    <t>Sunset Watch Family Campground</t>
  </si>
  <si>
    <t>Sussex KOA</t>
  </si>
  <si>
    <t>TNT Campground</t>
  </si>
  <si>
    <t>The Islands Provincial Park</t>
  </si>
  <si>
    <t>The Oasis Resort</t>
  </si>
  <si>
    <t>Thomas Raddall Provincial Park</t>
  </si>
  <si>
    <t>Tranquility by the Sea Resort Campground</t>
  </si>
  <si>
    <t>Twin Shores Camping Area</t>
  </si>
  <si>
    <t>Two Rivers Wildlife Park</t>
  </si>
  <si>
    <t>Upper Clements Cottages &amp; RV Park</t>
  </si>
  <si>
    <t>Vacationland RV Park &amp; Family Campground</t>
  </si>
  <si>
    <t>Valleyview Provincial Park</t>
  </si>
  <si>
    <t>Vidito Family Campground &amp; Cottages</t>
  </si>
  <si>
    <t>Wauklehegan Lake City CG (McAdam Campground)</t>
  </si>
  <si>
    <t>Wayside Campground</t>
  </si>
  <si>
    <t>Whale Cove Campground</t>
  </si>
  <si>
    <t>Whidden Park Campground &amp; Cottages</t>
  </si>
  <si>
    <t>Whispering Pines RV Estate</t>
  </si>
  <si>
    <t>Whispering Winds Family Campgrounds</t>
  </si>
  <si>
    <t>White Sands Campground</t>
  </si>
  <si>
    <t>Whycocomagh Provincial Park</t>
  </si>
  <si>
    <t>Williams Brook- Mount Carleton Provincial Park</t>
  </si>
  <si>
    <t>Yogi Bear's Jellystone Park Camping Resort</t>
  </si>
  <si>
    <t>Sum intro value</t>
  </si>
  <si>
    <t>Mean intro value</t>
  </si>
  <si>
    <t>median intro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</si>
</sst>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Gravity_calc!$B$1:$F$1</c:f>
              <c:strCache>
                <c:ptCount val="5"/>
                <c:pt idx="0">
                  <c:v>Bedford</c:v>
                </c:pt>
                <c:pt idx="1">
                  <c:v>Edmunston</c:v>
                </c:pt>
                <c:pt idx="2">
                  <c:v>Fredericton</c:v>
                </c:pt>
                <c:pt idx="3">
                  <c:v>Moncton</c:v>
                </c:pt>
                <c:pt idx="4">
                  <c:v>Oromocto</c:v>
                </c:pt>
              </c:strCache>
            </c:strRef>
          </c:cat>
          <c:val>
            <c:numRef>
              <c:f>Gravity_calc!$B$205:$F$205</c:f>
              <c:numCache>
                <c:formatCode>General</c:formatCode>
                <c:ptCount val="5"/>
                <c:pt idx="0">
                  <c:v>60547872.093215033</c:v>
                </c:pt>
                <c:pt idx="1">
                  <c:v>1140213.0517301422</c:v>
                </c:pt>
                <c:pt idx="2">
                  <c:v>6664021.0910711735</c:v>
                </c:pt>
                <c:pt idx="3">
                  <c:v>14561797.122669494</c:v>
                </c:pt>
                <c:pt idx="4">
                  <c:v>1080836.1935000396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A-418E-A143-CAF5E3EF6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494431"/>
        <c:axId val="32494847"/>
      </c:barChart>
      <c:catAx>
        <c:axId val="3249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4847"/>
        <c:crosses val="autoZero"/>
        <c:auto val="1"/>
        <c:lblAlgn val="ctr"/>
        <c:lblOffset val="100"/>
        <c:noMultiLvlLbl val="0"/>
      </c:catAx>
      <c:valAx>
        <c:axId val="3249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Gravity_calc!$A$206</c:f>
              <c:strCache>
                <c:ptCount val="1"/>
                <c:pt idx="0">
                  <c:v>Mean intro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Gravity_calc!$B$1:$F$1</c:f>
              <c:strCache>
                <c:ptCount val="5"/>
                <c:pt idx="0">
                  <c:v>Bedford</c:v>
                </c:pt>
                <c:pt idx="1">
                  <c:v>Edmunston</c:v>
                </c:pt>
                <c:pt idx="2">
                  <c:v>Fredericton</c:v>
                </c:pt>
                <c:pt idx="3">
                  <c:v>Moncton</c:v>
                </c:pt>
                <c:pt idx="4">
                  <c:v>Oromocto</c:v>
                </c:pt>
              </c:strCache>
            </c:strRef>
          </c:cat>
          <c:val>
            <c:numRef>
              <c:f>Gravity_calc!$B$206:$F$206</c:f>
              <c:numCache>
                <c:formatCode>General</c:formatCode>
                <c:ptCount val="5"/>
                <c:pt idx="0">
                  <c:v>302739.36046607519</c:v>
                </c:pt>
                <c:pt idx="1">
                  <c:v>5701.0652586507113</c:v>
                </c:pt>
                <c:pt idx="2">
                  <c:v>33320.105455355864</c:v>
                </c:pt>
                <c:pt idx="3">
                  <c:v>72808.985613347468</c:v>
                </c:pt>
                <c:pt idx="4">
                  <c:v>5404.1809675001978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0-4543-B694-F1BCABE50731}"/>
            </c:ext>
          </c:extLst>
        </c:ser>
        <c:ser>
          <c:idx val="1"/>
          <c:order val="1"/>
          <c:tx>
            <c:strRef>
              <c:f>Gravity_calc!$A$207</c:f>
              <c:strCache>
                <c:ptCount val="1"/>
                <c:pt idx="0">
                  <c:v>median intro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Gravity_calc!$B$1:$F$1</c:f>
              <c:strCache>
                <c:ptCount val="5"/>
                <c:pt idx="0">
                  <c:v>Bedford</c:v>
                </c:pt>
                <c:pt idx="1">
                  <c:v>Edmunston</c:v>
                </c:pt>
                <c:pt idx="2">
                  <c:v>Fredericton</c:v>
                </c:pt>
                <c:pt idx="3">
                  <c:v>Moncton</c:v>
                </c:pt>
                <c:pt idx="4">
                  <c:v>Oromocto</c:v>
                </c:pt>
              </c:strCache>
            </c:strRef>
          </c:cat>
          <c:val>
            <c:numRef>
              <c:f>Gravity_calc!$B$207:$F$207</c:f>
              <c:numCache>
                <c:formatCode>General</c:formatCode>
                <c:ptCount val="5"/>
                <c:pt idx="0">
                  <c:v>149958.58883481449</c:v>
                </c:pt>
                <c:pt idx="1">
                  <c:v>2346.3580160727552</c:v>
                </c:pt>
                <c:pt idx="2">
                  <c:v>17984.716765289249</c:v>
                </c:pt>
                <c:pt idx="3">
                  <c:v>32574.698893298599</c:v>
                </c:pt>
                <c:pt idx="4">
                  <c:v>2992.6395296447299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0-4543-B694-F1BCABE50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1167"/>
        <c:axId val="6349087"/>
      </c:barChart>
      <c:catAx>
        <c:axId val="635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9087"/>
        <c:crosses val="autoZero"/>
        <c:auto val="1"/>
        <c:lblAlgn val="ctr"/>
        <c:lblOffset val="100"/>
        <c:noMultiLvlLbl val="0"/>
      </c:catAx>
      <c:valAx>
        <c:axId val="634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Gravity_calc!$A$206</c:f>
              <c:strCache>
                <c:ptCount val="1"/>
                <c:pt idx="0">
                  <c:v>Mean intro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Gravity_calc!$B$1:$F$1</c:f>
              <c:strCache>
                <c:ptCount val="5"/>
                <c:pt idx="0">
                  <c:v>Bedford</c:v>
                </c:pt>
                <c:pt idx="1">
                  <c:v>Edmunston</c:v>
                </c:pt>
                <c:pt idx="2">
                  <c:v>Fredericton</c:v>
                </c:pt>
                <c:pt idx="3">
                  <c:v>Moncton</c:v>
                </c:pt>
                <c:pt idx="4">
                  <c:v>Oromocto</c:v>
                </c:pt>
              </c:strCache>
            </c:strRef>
          </c:cat>
          <c:val>
            <c:numRef>
              <c:f>Gravity_calc!$B$206:$F$206</c:f>
              <c:numCache>
                <c:formatCode>General</c:formatCode>
                <c:ptCount val="5"/>
                <c:pt idx="0">
                  <c:v>302739.36046607519</c:v>
                </c:pt>
                <c:pt idx="1">
                  <c:v>5701.0652586507113</c:v>
                </c:pt>
                <c:pt idx="2">
                  <c:v>33320.105455355864</c:v>
                </c:pt>
                <c:pt idx="3">
                  <c:v>72808.985613347468</c:v>
                </c:pt>
                <c:pt idx="4">
                  <c:v>5404.1809675001978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B-4935-B38C-22E4C0140E19}"/>
            </c:ext>
          </c:extLst>
        </c:ser>
        <c:ser>
          <c:idx val="1"/>
          <c:order val="1"/>
          <c:tx>
            <c:strRef>
              <c:f>Gravity_calc!$A$207</c:f>
              <c:strCache>
                <c:ptCount val="1"/>
                <c:pt idx="0">
                  <c:v>median intro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Gravity_calc!$B$1:$F$1</c:f>
              <c:strCache>
                <c:ptCount val="5"/>
                <c:pt idx="0">
                  <c:v>Bedford</c:v>
                </c:pt>
                <c:pt idx="1">
                  <c:v>Edmunston</c:v>
                </c:pt>
                <c:pt idx="2">
                  <c:v>Fredericton</c:v>
                </c:pt>
                <c:pt idx="3">
                  <c:v>Moncton</c:v>
                </c:pt>
                <c:pt idx="4">
                  <c:v>Oromocto</c:v>
                </c:pt>
              </c:strCache>
            </c:strRef>
          </c:cat>
          <c:val>
            <c:numRef>
              <c:f>Gravity_calc!$B$207:$F$207</c:f>
              <c:numCache>
                <c:formatCode>General</c:formatCode>
                <c:ptCount val="5"/>
                <c:pt idx="0">
                  <c:v>149958.58883481449</c:v>
                </c:pt>
                <c:pt idx="1">
                  <c:v>2346.3580160727552</c:v>
                </c:pt>
                <c:pt idx="2">
                  <c:v>17984.716765289249</c:v>
                </c:pt>
                <c:pt idx="3">
                  <c:v>32574.698893298599</c:v>
                </c:pt>
                <c:pt idx="4">
                  <c:v>2992.6395296447299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4B-4935-B38C-22E4C0140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1167"/>
        <c:axId val="6349087"/>
      </c:barChart>
      <c:catAx>
        <c:axId val="635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9087"/>
        <c:crosses val="autoZero"/>
        <c:auto val="1"/>
        <c:lblAlgn val="ctr"/>
        <c:lblOffset val="100"/>
        <c:noMultiLvlLbl val="0"/>
      </c:catAx>
      <c:valAx>
        <c:axId val="634908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_xlchart.v1.2</cx:f>
      </cx:numDim>
    </cx:data>
    <cx:data id="1">
      <cx:numDim type="val">
        <cx:f>_xlchart.v1.4</cx:f>
      </cx:numDim>
    </cx:data>
    <cx:data id="2">
      <cx:numDim type="val">
        <cx:f>_xlchart.v1.6</cx:f>
      </cx:numDim>
    </cx:data>
    <cx:data id="3">
      <cx:numDim type="val">
        <cx:f>_xlchart.v1.8</cx:f>
      </cx:numDim>
    </cx:data>
    <cx:data id="4">
      <cx:numDim type="val">
        <cx:f>_xlchart.v1.10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CA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Chart Title</a:t>
          </a:r>
        </a:p>
      </cx:txPr>
    </cx:title>
    <cx:plotArea>
      <cx:plotAreaRegion>
        <cx:series layoutId="clusteredColumn" uniqueId="{225C2327-117D-4FEB-861A-2442613C0FB1}" formatIdx="0">
          <cx:tx>
            <cx:txData>
              <cx:f>_xlchart.v1.0</cx:f>
              <cx:v>Bedford</cx:v>
            </cx:txData>
          </cx:tx>
          <cx:dataId val="0"/>
          <cx:layoutPr>
            <cx:binning intervalClosed="r"/>
          </cx:layoutPr>
        </cx:series>
        <cx:series layoutId="clusteredColumn" hidden="1" uniqueId="{1A1307DA-F3DB-4BD7-9BC1-030C919BDCB2}" formatIdx="1">
          <cx:tx>
            <cx:txData>
              <cx:f>_xlchart.v1.3</cx:f>
              <cx:v>Edmunston</cx:v>
            </cx:txData>
          </cx:tx>
          <cx:dataId val="1"/>
          <cx:layoutPr>
            <cx:binning intervalClosed="r"/>
          </cx:layoutPr>
        </cx:series>
        <cx:series layoutId="clusteredColumn" hidden="1" uniqueId="{322A8B3C-8520-40CC-9B8C-CE308EB69086}" formatIdx="2">
          <cx:tx>
            <cx:txData>
              <cx:f>_xlchart.v1.5</cx:f>
              <cx:v>Fredericton</cx:v>
            </cx:txData>
          </cx:tx>
          <cx:dataId val="2"/>
          <cx:layoutPr>
            <cx:binning intervalClosed="r"/>
          </cx:layoutPr>
        </cx:series>
        <cx:series layoutId="clusteredColumn" hidden="1" uniqueId="{F8EDCB34-E0F1-4BFD-B392-C054A51181ED}" formatIdx="3">
          <cx:tx>
            <cx:txData>
              <cx:f>_xlchart.v1.7</cx:f>
              <cx:v>Moncton</cx:v>
            </cx:txData>
          </cx:tx>
          <cx:dataId val="3"/>
          <cx:layoutPr>
            <cx:binning intervalClosed="r"/>
          </cx:layoutPr>
        </cx:series>
        <cx:series layoutId="clusteredColumn" hidden="1" uniqueId="{A170A1A2-9CC6-4CC8-85F1-B3554C46EDA5}" formatIdx="4">
          <cx:tx>
            <cx:txData>
              <cx:f>_xlchart.v1.9</cx:f>
              <cx:v>Oromocto</cx:v>
            </cx:txData>
          </cx:tx>
          <cx:dataId val="4"/>
          <cx:layoutPr>
            <cx:binning intervalClosed="r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6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441325</xdr:colOff>
      <xdr:row>184</xdr:row>
      <xdr:rowOff>9525</xdr:rowOff>
    </xdr:from>
    <xdr:to>
      <xdr:col>18</xdr:col>
      <xdr:colOff>136525</xdr:colOff>
      <xdr:row>198</xdr:row>
      <xdr:rowOff>174625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DE22FD5-26E1-46B8-8F8C-A7C7BA46AA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5175" y="338931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25D735-FBE3-45AE-860B-A1888B999CE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C4CE59-0E9F-4F5D-A84F-BEB18349355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DBCA89-A723-4C11-B72E-431F00619E8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8"/>
  <sheetViews>
    <sheetView tabSelected="1" topLeftCell="F184" workbookViewId="0">
      <selection activeCell="H1" sqref="H1:L201"/>
    </sheetView>
  </sheetViews>
  <sheetFormatPr defaultRowHeight="14.5" x14ac:dyDescent="0.35"/>
  <cols>
    <col min="1" max="1" width="33.08984375" customWidth="1"/>
    <col min="2" max="2" width="10.81640625" bestFit="1" customWidth="1"/>
  </cols>
  <sheetData>
    <row r="1" spans="1:12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 x14ac:dyDescent="0.35">
      <c r="A2" t="s">
        <v>5</v>
      </c>
      <c r="B2">
        <v>62865.588630518898</v>
      </c>
      <c r="C2">
        <v>811.38434416508596</v>
      </c>
      <c r="D2">
        <v>6455.6521991256604</v>
      </c>
      <c r="E2">
        <v>17145.7505458493</v>
      </c>
      <c r="F2">
        <v>1072.4479801882001</v>
      </c>
      <c r="H2">
        <f>LOG(B2)</f>
        <v>4.7984129863460501</v>
      </c>
      <c r="I2">
        <f t="shared" ref="I2:L17" si="0">LOG(C2)</f>
        <v>2.9092266236439928</v>
      </c>
      <c r="J2">
        <f t="shared" si="0"/>
        <v>3.8099401245533357</v>
      </c>
      <c r="K2">
        <f t="shared" si="0"/>
        <v>4.2341565008704061</v>
      </c>
      <c r="L2">
        <f t="shared" si="0"/>
        <v>3.0303762356212154</v>
      </c>
    </row>
    <row r="3" spans="1:12" x14ac:dyDescent="0.35">
      <c r="A3" t="s">
        <v>6</v>
      </c>
      <c r="B3">
        <v>102992.239639256</v>
      </c>
      <c r="C3">
        <v>1349.6468198033499</v>
      </c>
      <c r="D3">
        <v>8909.0027395913403</v>
      </c>
      <c r="E3">
        <v>15806.950947541</v>
      </c>
      <c r="F3">
        <v>1449.55598819905</v>
      </c>
      <c r="H3">
        <f t="shared" ref="H3:H66" si="1">LOG(B3)</f>
        <v>5.0128045022894518</v>
      </c>
      <c r="I3">
        <f t="shared" si="0"/>
        <v>3.1302201356966175</v>
      </c>
      <c r="J3">
        <f t="shared" si="0"/>
        <v>3.9498290924844457</v>
      </c>
      <c r="K3">
        <f t="shared" si="0"/>
        <v>4.1988481055828712</v>
      </c>
      <c r="L3">
        <f t="shared" si="0"/>
        <v>3.1612349943693951</v>
      </c>
    </row>
    <row r="4" spans="1:12" x14ac:dyDescent="0.35">
      <c r="A4" t="s">
        <v>7</v>
      </c>
      <c r="B4">
        <v>59120.357286389903</v>
      </c>
      <c r="C4">
        <v>1575.4156142332499</v>
      </c>
      <c r="D4">
        <v>22092.343559264398</v>
      </c>
      <c r="E4">
        <v>52581.5158365604</v>
      </c>
      <c r="F4">
        <v>3982.2338182434</v>
      </c>
      <c r="H4">
        <f t="shared" si="1"/>
        <v>4.7717370499983849</v>
      </c>
      <c r="I4">
        <f t="shared" si="0"/>
        <v>3.1973951455269338</v>
      </c>
      <c r="J4">
        <f t="shared" si="0"/>
        <v>4.3442417883418161</v>
      </c>
      <c r="K4">
        <f t="shared" si="0"/>
        <v>4.7208331019294238</v>
      </c>
      <c r="L4">
        <f t="shared" si="0"/>
        <v>3.6001267561915578</v>
      </c>
    </row>
    <row r="5" spans="1:12" x14ac:dyDescent="0.35">
      <c r="A5" t="s">
        <v>8</v>
      </c>
      <c r="B5">
        <v>41035.581548381</v>
      </c>
      <c r="C5">
        <v>790.974823855458</v>
      </c>
      <c r="D5">
        <v>5607.7382918297999</v>
      </c>
      <c r="E5">
        <v>11632.1059160029</v>
      </c>
      <c r="F5">
        <v>920.83657405701899</v>
      </c>
      <c r="H5">
        <f t="shared" si="1"/>
        <v>4.6131605925408703</v>
      </c>
      <c r="I5">
        <f t="shared" si="0"/>
        <v>2.898162660445013</v>
      </c>
      <c r="J5">
        <f t="shared" si="0"/>
        <v>3.7487877372934251</v>
      </c>
      <c r="K5">
        <f t="shared" si="0"/>
        <v>4.0656583479962372</v>
      </c>
      <c r="L5">
        <f t="shared" si="0"/>
        <v>2.9641825603998622</v>
      </c>
    </row>
    <row r="6" spans="1:12" x14ac:dyDescent="0.35">
      <c r="A6" t="s">
        <v>9</v>
      </c>
      <c r="B6">
        <v>88435.564421100295</v>
      </c>
      <c r="C6">
        <v>1105.70880909363</v>
      </c>
      <c r="D6">
        <v>9514.3389637408</v>
      </c>
      <c r="E6">
        <v>34268.4083630557</v>
      </c>
      <c r="F6">
        <v>1598.32034252055</v>
      </c>
      <c r="H6">
        <f t="shared" si="1"/>
        <v>4.9466269519556541</v>
      </c>
      <c r="I6">
        <f t="shared" si="0"/>
        <v>3.0436407695957488</v>
      </c>
      <c r="J6">
        <f t="shared" si="0"/>
        <v>3.9783786198040705</v>
      </c>
      <c r="K6">
        <f t="shared" si="0"/>
        <v>4.5348939335750504</v>
      </c>
      <c r="L6">
        <f t="shared" si="0"/>
        <v>3.2036638269468312</v>
      </c>
    </row>
    <row r="7" spans="1:12" x14ac:dyDescent="0.35">
      <c r="A7" t="s">
        <v>10</v>
      </c>
      <c r="B7">
        <v>98879.9077692391</v>
      </c>
      <c r="C7">
        <v>3216.9812611472998</v>
      </c>
      <c r="D7">
        <v>35108.931314794703</v>
      </c>
      <c r="E7">
        <v>27079.511751145499</v>
      </c>
      <c r="F7">
        <v>5934.93802378893</v>
      </c>
      <c r="H7">
        <f t="shared" si="1"/>
        <v>4.9951080526544374</v>
      </c>
      <c r="I7">
        <f t="shared" si="0"/>
        <v>3.5074485311525052</v>
      </c>
      <c r="J7">
        <f t="shared" si="0"/>
        <v>4.5454176101218238</v>
      </c>
      <c r="K7">
        <f t="shared" si="0"/>
        <v>4.4326408296698689</v>
      </c>
      <c r="L7">
        <f t="shared" si="0"/>
        <v>3.7734161881487376</v>
      </c>
    </row>
    <row r="8" spans="1:12" x14ac:dyDescent="0.35">
      <c r="A8" t="s">
        <v>11</v>
      </c>
      <c r="B8">
        <v>66128.536139522403</v>
      </c>
      <c r="C8">
        <v>7268.7494778248201</v>
      </c>
      <c r="D8">
        <v>21789.7947631303</v>
      </c>
      <c r="E8">
        <v>22134.321399236302</v>
      </c>
      <c r="F8">
        <v>3193.06841194551</v>
      </c>
      <c r="H8">
        <f t="shared" si="1"/>
        <v>4.8203889090102834</v>
      </c>
      <c r="I8">
        <f t="shared" si="0"/>
        <v>3.861459700873513</v>
      </c>
      <c r="J8">
        <f t="shared" si="0"/>
        <v>4.3382531396698552</v>
      </c>
      <c r="K8">
        <f t="shared" si="0"/>
        <v>4.3450662117865297</v>
      </c>
      <c r="L8">
        <f t="shared" si="0"/>
        <v>3.5042082234602554</v>
      </c>
    </row>
    <row r="9" spans="1:12" x14ac:dyDescent="0.35">
      <c r="A9" t="s">
        <v>12</v>
      </c>
      <c r="B9">
        <v>229713.87388395099</v>
      </c>
      <c r="C9">
        <v>3013.96675507072</v>
      </c>
      <c r="D9">
        <v>19888.1018382572</v>
      </c>
      <c r="E9">
        <v>35266.580909536598</v>
      </c>
      <c r="F9">
        <v>3235.8158496392998</v>
      </c>
      <c r="H9">
        <f t="shared" si="1"/>
        <v>5.361187225797047</v>
      </c>
      <c r="I9">
        <f t="shared" si="0"/>
        <v>3.479138457610675</v>
      </c>
      <c r="J9">
        <f t="shared" si="0"/>
        <v>4.2985933351350551</v>
      </c>
      <c r="K9">
        <f t="shared" si="0"/>
        <v>4.5473633569144667</v>
      </c>
      <c r="L9">
        <f t="shared" si="0"/>
        <v>3.5099837979336979</v>
      </c>
    </row>
    <row r="10" spans="1:12" x14ac:dyDescent="0.35">
      <c r="A10" t="s">
        <v>13</v>
      </c>
      <c r="B10">
        <v>68338.184155652998</v>
      </c>
      <c r="C10">
        <v>854.81436629996199</v>
      </c>
      <c r="D10">
        <v>5717.3621863431199</v>
      </c>
      <c r="E10">
        <v>10366.124067758299</v>
      </c>
      <c r="F10">
        <v>931.49072755971304</v>
      </c>
      <c r="H10">
        <f t="shared" si="1"/>
        <v>4.8346634347838284</v>
      </c>
      <c r="I10">
        <f t="shared" si="0"/>
        <v>2.9318718124536245</v>
      </c>
      <c r="J10">
        <f t="shared" si="0"/>
        <v>3.7571957049915885</v>
      </c>
      <c r="K10">
        <f t="shared" si="0"/>
        <v>4.0156164024217418</v>
      </c>
      <c r="L10">
        <f t="shared" si="0"/>
        <v>2.9691785361085969</v>
      </c>
    </row>
    <row r="11" spans="1:12" x14ac:dyDescent="0.35">
      <c r="A11" t="s">
        <v>14</v>
      </c>
      <c r="B11">
        <v>79728.201365499001</v>
      </c>
      <c r="C11">
        <v>610.27181575719806</v>
      </c>
      <c r="D11">
        <v>5421.1759793481297</v>
      </c>
      <c r="E11">
        <v>5793.2395602644601</v>
      </c>
      <c r="F11">
        <v>919.19800631913404</v>
      </c>
      <c r="H11">
        <f t="shared" si="1"/>
        <v>4.9016119667040465</v>
      </c>
      <c r="I11">
        <f t="shared" si="0"/>
        <v>2.7855233133553021</v>
      </c>
      <c r="J11">
        <f t="shared" si="0"/>
        <v>3.7340935053472508</v>
      </c>
      <c r="K11">
        <f t="shared" si="0"/>
        <v>3.7629214876825201</v>
      </c>
      <c r="L11">
        <f t="shared" si="0"/>
        <v>2.9634090737246828</v>
      </c>
    </row>
    <row r="12" spans="1:12" x14ac:dyDescent="0.35">
      <c r="A12" t="s">
        <v>15</v>
      </c>
      <c r="B12">
        <v>1279026.2018714701</v>
      </c>
      <c r="C12">
        <v>3237.1001141930601</v>
      </c>
      <c r="D12">
        <v>26083.797406643698</v>
      </c>
      <c r="E12">
        <v>47806.329065839003</v>
      </c>
      <c r="F12">
        <v>4360.4368736777196</v>
      </c>
      <c r="H12">
        <f t="shared" si="1"/>
        <v>6.1068794414384948</v>
      </c>
      <c r="I12">
        <f t="shared" si="0"/>
        <v>3.510156131089091</v>
      </c>
      <c r="J12">
        <f t="shared" si="0"/>
        <v>4.4163708183749248</v>
      </c>
      <c r="K12">
        <f t="shared" si="0"/>
        <v>4.6794853965370793</v>
      </c>
      <c r="L12">
        <f t="shared" si="0"/>
        <v>3.6395300035627502</v>
      </c>
    </row>
    <row r="13" spans="1:12" x14ac:dyDescent="0.35">
      <c r="A13" t="s">
        <v>16</v>
      </c>
      <c r="B13">
        <v>250054.50749276101</v>
      </c>
      <c r="C13">
        <v>4017.6517258961298</v>
      </c>
      <c r="D13">
        <v>40450.331705439799</v>
      </c>
      <c r="E13">
        <v>41595.413752057299</v>
      </c>
      <c r="F13">
        <v>7002.1368136993497</v>
      </c>
      <c r="H13">
        <f t="shared" si="1"/>
        <v>5.3980346875643086</v>
      </c>
      <c r="I13">
        <f t="shared" si="0"/>
        <v>3.6039722867982205</v>
      </c>
      <c r="J13">
        <f t="shared" si="0"/>
        <v>4.6069220873142109</v>
      </c>
      <c r="K13">
        <f t="shared" si="0"/>
        <v>4.619045448608099</v>
      </c>
      <c r="L13">
        <f t="shared" si="0"/>
        <v>3.845230592126557</v>
      </c>
    </row>
    <row r="14" spans="1:12" x14ac:dyDescent="0.35">
      <c r="A14" t="s">
        <v>17</v>
      </c>
      <c r="B14">
        <v>232629.99801395199</v>
      </c>
      <c r="C14">
        <v>3178.184588092</v>
      </c>
      <c r="D14">
        <v>20725.563526623198</v>
      </c>
      <c r="E14">
        <v>36067.807758674302</v>
      </c>
      <c r="F14">
        <v>3368.1112650432601</v>
      </c>
      <c r="H14">
        <f t="shared" si="1"/>
        <v>5.3666657169784235</v>
      </c>
      <c r="I14">
        <f t="shared" si="0"/>
        <v>3.5021791173086601</v>
      </c>
      <c r="J14">
        <f t="shared" si="0"/>
        <v>4.3165063478194474</v>
      </c>
      <c r="K14">
        <f t="shared" si="0"/>
        <v>4.5571197462206543</v>
      </c>
      <c r="L14">
        <f t="shared" si="0"/>
        <v>3.5273864299167319</v>
      </c>
    </row>
    <row r="15" spans="1:12" x14ac:dyDescent="0.35">
      <c r="A15" t="s">
        <v>18</v>
      </c>
      <c r="B15">
        <v>29568.954012998001</v>
      </c>
      <c r="C15">
        <v>540.44393118744495</v>
      </c>
      <c r="D15">
        <v>4007.81427794914</v>
      </c>
      <c r="E15">
        <v>9212.2331409148301</v>
      </c>
      <c r="F15">
        <v>661.58718385593704</v>
      </c>
      <c r="H15">
        <f t="shared" si="1"/>
        <v>4.4708359618471274</v>
      </c>
      <c r="I15">
        <f t="shared" si="0"/>
        <v>2.7327506443781711</v>
      </c>
      <c r="J15">
        <f t="shared" si="0"/>
        <v>3.6029075881259871</v>
      </c>
      <c r="K15">
        <f t="shared" si="0"/>
        <v>3.9643649204484657</v>
      </c>
      <c r="L15">
        <f t="shared" si="0"/>
        <v>2.8205870835539266</v>
      </c>
    </row>
    <row r="16" spans="1:12" x14ac:dyDescent="0.35">
      <c r="A16" t="s">
        <v>19</v>
      </c>
      <c r="B16">
        <v>4545.0826073101698</v>
      </c>
      <c r="C16">
        <v>69.304917231265904</v>
      </c>
      <c r="D16">
        <v>436.92555406963601</v>
      </c>
      <c r="E16">
        <v>722.72194096777298</v>
      </c>
      <c r="F16">
        <v>70.772094985017006</v>
      </c>
      <c r="H16">
        <f t="shared" si="1"/>
        <v>3.6575417809733759</v>
      </c>
      <c r="I16">
        <f t="shared" si="0"/>
        <v>1.8407640491954245</v>
      </c>
      <c r="J16">
        <f t="shared" si="0"/>
        <v>2.6404074456408746</v>
      </c>
      <c r="K16">
        <f t="shared" si="0"/>
        <v>2.8589712395756064</v>
      </c>
      <c r="L16">
        <f t="shared" si="0"/>
        <v>1.8498620517161233</v>
      </c>
    </row>
    <row r="17" spans="1:12" x14ac:dyDescent="0.35">
      <c r="A17" t="s">
        <v>20</v>
      </c>
      <c r="B17">
        <v>234401.08338782901</v>
      </c>
      <c r="C17">
        <v>1855.09562699409</v>
      </c>
      <c r="D17">
        <v>14120.119596148401</v>
      </c>
      <c r="E17">
        <v>33293.153318621698</v>
      </c>
      <c r="F17">
        <v>2333.2392501755598</v>
      </c>
      <c r="H17">
        <f t="shared" si="1"/>
        <v>5.3699596146338884</v>
      </c>
      <c r="I17">
        <f t="shared" si="0"/>
        <v>3.2683663016628861</v>
      </c>
      <c r="J17">
        <f t="shared" si="0"/>
        <v>4.1498383751667296</v>
      </c>
      <c r="K17">
        <f t="shared" si="0"/>
        <v>4.5223549307535817</v>
      </c>
      <c r="L17">
        <f t="shared" si="0"/>
        <v>3.3679592736002895</v>
      </c>
    </row>
    <row r="18" spans="1:12" x14ac:dyDescent="0.35">
      <c r="A18" t="s">
        <v>21</v>
      </c>
      <c r="B18">
        <v>260945.67006763199</v>
      </c>
      <c r="C18">
        <v>1583.2480677636499</v>
      </c>
      <c r="D18">
        <v>13192.118332182799</v>
      </c>
      <c r="E18">
        <v>17876.297356837898</v>
      </c>
      <c r="F18">
        <v>2215.7036891031098</v>
      </c>
      <c r="H18">
        <f t="shared" si="1"/>
        <v>5.4165500949016314</v>
      </c>
      <c r="I18">
        <f t="shared" ref="I18:I81" si="2">LOG(C18)</f>
        <v>3.1995489666756098</v>
      </c>
      <c r="J18">
        <f t="shared" ref="J18:J81" si="3">LOG(D18)</f>
        <v>4.1203145382386106</v>
      </c>
      <c r="K18">
        <f t="shared" ref="K18:K81" si="4">LOG(E18)</f>
        <v>4.2522775701637396</v>
      </c>
      <c r="L18">
        <f t="shared" ref="L18:L81" si="5">LOG(F18)</f>
        <v>3.3455116807893317</v>
      </c>
    </row>
    <row r="19" spans="1:12" x14ac:dyDescent="0.35">
      <c r="A19" t="s">
        <v>22</v>
      </c>
      <c r="B19">
        <v>112246.02593087401</v>
      </c>
      <c r="C19">
        <v>8365.7508454271101</v>
      </c>
      <c r="D19">
        <v>27236.8333763185</v>
      </c>
      <c r="E19">
        <v>37087.927642543204</v>
      </c>
      <c r="F19">
        <v>4066.4518910933798</v>
      </c>
      <c r="H19">
        <f t="shared" si="1"/>
        <v>5.0501709737569218</v>
      </c>
      <c r="I19">
        <f t="shared" si="2"/>
        <v>3.9225049259788367</v>
      </c>
      <c r="J19">
        <f t="shared" si="3"/>
        <v>4.4351566139921088</v>
      </c>
      <c r="K19">
        <f t="shared" si="4"/>
        <v>4.5692325669885587</v>
      </c>
      <c r="L19">
        <f t="shared" si="5"/>
        <v>3.6092156386658565</v>
      </c>
    </row>
    <row r="20" spans="1:12" x14ac:dyDescent="0.35">
      <c r="A20" t="s">
        <v>23</v>
      </c>
      <c r="B20">
        <v>154704.086212325</v>
      </c>
      <c r="C20">
        <v>2477.08144365714</v>
      </c>
      <c r="D20">
        <v>20511.6991241543</v>
      </c>
      <c r="E20">
        <v>66098.4342088267</v>
      </c>
      <c r="F20">
        <v>3433.9847975562102</v>
      </c>
      <c r="H20">
        <f t="shared" si="1"/>
        <v>5.1895017849083382</v>
      </c>
      <c r="I20">
        <f t="shared" si="2"/>
        <v>3.3939402859356167</v>
      </c>
      <c r="J20">
        <f t="shared" si="3"/>
        <v>4.3120016374371106</v>
      </c>
      <c r="K20">
        <f t="shared" si="4"/>
        <v>4.8201911717016666</v>
      </c>
      <c r="L20">
        <f t="shared" si="5"/>
        <v>3.535798368183062</v>
      </c>
    </row>
    <row r="21" spans="1:12" x14ac:dyDescent="0.35">
      <c r="A21" t="s">
        <v>24</v>
      </c>
      <c r="B21">
        <v>317949.68947998498</v>
      </c>
      <c r="C21">
        <v>8054.0541217557502</v>
      </c>
      <c r="D21">
        <v>73369.758820137606</v>
      </c>
      <c r="E21">
        <v>280952.90793132997</v>
      </c>
      <c r="F21">
        <v>11560.3520316712</v>
      </c>
      <c r="H21">
        <f t="shared" si="1"/>
        <v>5.5023584051737133</v>
      </c>
      <c r="I21">
        <f t="shared" si="2"/>
        <v>3.9060145436599027</v>
      </c>
      <c r="J21">
        <f t="shared" si="3"/>
        <v>4.8655170914714549</v>
      </c>
      <c r="K21">
        <f t="shared" si="4"/>
        <v>5.4486335315083156</v>
      </c>
      <c r="L21">
        <f t="shared" si="5"/>
        <v>4.0629710592648243</v>
      </c>
    </row>
    <row r="22" spans="1:12" x14ac:dyDescent="0.35">
      <c r="A22" t="s">
        <v>25</v>
      </c>
      <c r="B22">
        <v>60729.546893565202</v>
      </c>
      <c r="C22">
        <v>619.80071681077402</v>
      </c>
      <c r="D22">
        <v>4273.7365594681696</v>
      </c>
      <c r="E22">
        <v>8171.8945527228498</v>
      </c>
      <c r="F22">
        <v>698.48792593994006</v>
      </c>
      <c r="H22">
        <f t="shared" si="1"/>
        <v>4.7834000408400268</v>
      </c>
      <c r="I22">
        <f t="shared" si="2"/>
        <v>2.7922520741730024</v>
      </c>
      <c r="J22">
        <f t="shared" si="3"/>
        <v>3.6308077479882166</v>
      </c>
      <c r="K22">
        <f t="shared" si="4"/>
        <v>3.9123227540120427</v>
      </c>
      <c r="L22">
        <f t="shared" si="5"/>
        <v>2.844158903302056</v>
      </c>
    </row>
    <row r="23" spans="1:12" x14ac:dyDescent="0.35">
      <c r="A23" t="s">
        <v>26</v>
      </c>
      <c r="B23">
        <v>115113.28019244</v>
      </c>
      <c r="C23">
        <v>1517.3506845084701</v>
      </c>
      <c r="D23">
        <v>9999.1159622339601</v>
      </c>
      <c r="E23">
        <v>17692.843885973401</v>
      </c>
      <c r="F23">
        <v>1626.6498625516999</v>
      </c>
      <c r="H23">
        <f t="shared" si="1"/>
        <v>5.061125429464667</v>
      </c>
      <c r="I23">
        <f t="shared" si="2"/>
        <v>3.1810859649304439</v>
      </c>
      <c r="J23">
        <f t="shared" si="3"/>
        <v>3.9999616050304865</v>
      </c>
      <c r="K23">
        <f t="shared" si="4"/>
        <v>4.247797645499805</v>
      </c>
      <c r="L23">
        <f t="shared" si="5"/>
        <v>3.2112940808247905</v>
      </c>
    </row>
    <row r="24" spans="1:12" x14ac:dyDescent="0.35">
      <c r="A24" t="s">
        <v>27</v>
      </c>
      <c r="B24">
        <v>177926.81074186999</v>
      </c>
      <c r="C24">
        <v>2714.8868901270998</v>
      </c>
      <c r="D24">
        <v>17112.090061729301</v>
      </c>
      <c r="E24">
        <v>28296.6051168372</v>
      </c>
      <c r="F24">
        <v>2771.7170295306601</v>
      </c>
      <c r="H24">
        <f t="shared" si="1"/>
        <v>5.2502413942893282</v>
      </c>
      <c r="I24">
        <f t="shared" si="2"/>
        <v>3.4337517403642996</v>
      </c>
      <c r="J24">
        <f t="shared" si="3"/>
        <v>4.2333030572816304</v>
      </c>
      <c r="K24">
        <f t="shared" si="4"/>
        <v>4.4517343342004372</v>
      </c>
      <c r="L24">
        <f t="shared" si="5"/>
        <v>3.4427488901582608</v>
      </c>
    </row>
    <row r="25" spans="1:12" x14ac:dyDescent="0.35">
      <c r="A25" t="s">
        <v>28</v>
      </c>
      <c r="B25">
        <v>108787.331797619</v>
      </c>
      <c r="C25">
        <v>2005.1906785226299</v>
      </c>
      <c r="D25">
        <v>14764.703432333001</v>
      </c>
      <c r="E25">
        <v>33356.651070670501</v>
      </c>
      <c r="F25">
        <v>2435.20396275554</v>
      </c>
      <c r="H25">
        <f t="shared" si="1"/>
        <v>5.036578325043104</v>
      </c>
      <c r="I25">
        <f t="shared" si="2"/>
        <v>3.3021556770523297</v>
      </c>
      <c r="J25">
        <f t="shared" si="3"/>
        <v>4.1692247280369719</v>
      </c>
      <c r="K25">
        <f t="shared" si="4"/>
        <v>4.5231824420095892</v>
      </c>
      <c r="L25">
        <f t="shared" si="5"/>
        <v>3.3865353418092141</v>
      </c>
    </row>
    <row r="26" spans="1:12" x14ac:dyDescent="0.35">
      <c r="A26" t="s">
        <v>29</v>
      </c>
      <c r="B26">
        <v>249322.410618736</v>
      </c>
      <c r="C26">
        <v>4261.4689421412704</v>
      </c>
      <c r="D26">
        <v>33428.427942458802</v>
      </c>
      <c r="E26">
        <v>89562.526513914505</v>
      </c>
      <c r="F26">
        <v>5556.6893263862103</v>
      </c>
      <c r="H26">
        <f t="shared" si="1"/>
        <v>5.3967613172948603</v>
      </c>
      <c r="I26">
        <f t="shared" si="2"/>
        <v>3.6295593276241367</v>
      </c>
      <c r="J26">
        <f t="shared" si="3"/>
        <v>4.5241159532611643</v>
      </c>
      <c r="K26">
        <f t="shared" si="4"/>
        <v>4.9521263363091244</v>
      </c>
      <c r="L26">
        <f t="shared" si="5"/>
        <v>3.7448161161289355</v>
      </c>
    </row>
    <row r="27" spans="1:12" x14ac:dyDescent="0.35">
      <c r="A27" t="s">
        <v>30</v>
      </c>
      <c r="B27">
        <v>101093.57528320899</v>
      </c>
      <c r="C27">
        <v>3527.0539442563399</v>
      </c>
      <c r="D27">
        <v>80642.691228170006</v>
      </c>
      <c r="E27">
        <v>59841.962412587098</v>
      </c>
      <c r="F27">
        <v>16505.895489000701</v>
      </c>
      <c r="H27">
        <f t="shared" si="1"/>
        <v>5.0047235561082069</v>
      </c>
      <c r="I27">
        <f t="shared" si="2"/>
        <v>3.5474121020019669</v>
      </c>
      <c r="J27">
        <f t="shared" si="3"/>
        <v>4.9065650127279516</v>
      </c>
      <c r="K27">
        <f t="shared" si="4"/>
        <v>4.7770058270185602</v>
      </c>
      <c r="L27">
        <f t="shared" si="5"/>
        <v>4.2176390909433268</v>
      </c>
    </row>
    <row r="28" spans="1:12" x14ac:dyDescent="0.35">
      <c r="A28" t="s">
        <v>31</v>
      </c>
      <c r="B28">
        <v>50849.094459866297</v>
      </c>
      <c r="C28">
        <v>976.10869656513501</v>
      </c>
      <c r="D28">
        <v>6944.4975424234799</v>
      </c>
      <c r="E28">
        <v>14512.692156407</v>
      </c>
      <c r="F28">
        <v>1140.7988741687</v>
      </c>
      <c r="H28">
        <f t="shared" si="1"/>
        <v>4.7062832232452934</v>
      </c>
      <c r="I28">
        <f t="shared" si="2"/>
        <v>2.989498182103131</v>
      </c>
      <c r="J28">
        <f t="shared" si="3"/>
        <v>3.8416408285549939</v>
      </c>
      <c r="K28">
        <f t="shared" si="4"/>
        <v>4.1617479830938988</v>
      </c>
      <c r="L28">
        <f t="shared" si="5"/>
        <v>3.0572090839115749</v>
      </c>
    </row>
    <row r="29" spans="1:12" x14ac:dyDescent="0.35">
      <c r="A29" t="s">
        <v>32</v>
      </c>
      <c r="B29">
        <v>334568.32924708299</v>
      </c>
      <c r="C29">
        <v>7002.44620186867</v>
      </c>
      <c r="D29">
        <v>75018.447441017997</v>
      </c>
      <c r="E29">
        <v>2006364.5288937001</v>
      </c>
      <c r="F29">
        <v>13033.664569315801</v>
      </c>
      <c r="H29">
        <f t="shared" si="1"/>
        <v>5.5244848275880702</v>
      </c>
      <c r="I29">
        <f t="shared" si="2"/>
        <v>3.8452497809270483</v>
      </c>
      <c r="J29">
        <f t="shared" si="3"/>
        <v>4.8751680718811414</v>
      </c>
      <c r="K29">
        <f t="shared" si="4"/>
        <v>6.3024098411991138</v>
      </c>
      <c r="L29">
        <f t="shared" si="5"/>
        <v>4.1150665399241406</v>
      </c>
    </row>
    <row r="30" spans="1:12" x14ac:dyDescent="0.35">
      <c r="A30" t="s">
        <v>33</v>
      </c>
      <c r="B30">
        <v>292594.12669611798</v>
      </c>
      <c r="C30">
        <v>4866.3361243684603</v>
      </c>
      <c r="D30">
        <v>43279.561824415403</v>
      </c>
      <c r="E30">
        <v>46233.916542563398</v>
      </c>
      <c r="F30">
        <v>7339.6765085359302</v>
      </c>
      <c r="H30">
        <f t="shared" si="1"/>
        <v>5.4662656041916602</v>
      </c>
      <c r="I30">
        <f t="shared" si="2"/>
        <v>3.6872021029336666</v>
      </c>
      <c r="J30">
        <f t="shared" si="3"/>
        <v>4.6362828551899682</v>
      </c>
      <c r="K30">
        <f t="shared" si="4"/>
        <v>4.6649606847159779</v>
      </c>
      <c r="L30">
        <f t="shared" si="5"/>
        <v>3.8656769190913081</v>
      </c>
    </row>
    <row r="31" spans="1:12" x14ac:dyDescent="0.35">
      <c r="A31" t="s">
        <v>34</v>
      </c>
      <c r="B31">
        <v>400308.72110789397</v>
      </c>
      <c r="C31">
        <v>7679.7842795328097</v>
      </c>
      <c r="D31">
        <v>73996.184137983902</v>
      </c>
      <c r="E31">
        <v>643015.77200815501</v>
      </c>
      <c r="F31">
        <v>12669.449466985199</v>
      </c>
      <c r="H31">
        <f t="shared" si="1"/>
        <v>5.6023950517283296</v>
      </c>
      <c r="I31">
        <f t="shared" si="2"/>
        <v>3.8853490211351165</v>
      </c>
      <c r="J31">
        <f t="shared" si="3"/>
        <v>4.8692093244533234</v>
      </c>
      <c r="K31">
        <f t="shared" si="4"/>
        <v>5.8082216255091428</v>
      </c>
      <c r="L31">
        <f t="shared" si="5"/>
        <v>4.1027577436407352</v>
      </c>
    </row>
    <row r="32" spans="1:12" x14ac:dyDescent="0.35">
      <c r="A32" t="s">
        <v>35</v>
      </c>
      <c r="B32">
        <v>320624.44314950699</v>
      </c>
      <c r="C32">
        <v>15231.4377526389</v>
      </c>
      <c r="D32">
        <v>79536.653383285404</v>
      </c>
      <c r="E32">
        <v>113163.377788934</v>
      </c>
      <c r="F32">
        <v>11807.642502684301</v>
      </c>
      <c r="H32">
        <f t="shared" si="1"/>
        <v>5.5059966281874893</v>
      </c>
      <c r="I32">
        <f t="shared" si="2"/>
        <v>4.1827408999589171</v>
      </c>
      <c r="J32">
        <f t="shared" si="3"/>
        <v>4.9005673134823846</v>
      </c>
      <c r="K32">
        <f t="shared" si="4"/>
        <v>5.0537059021395079</v>
      </c>
      <c r="L32">
        <f t="shared" si="5"/>
        <v>4.0721631956424273</v>
      </c>
    </row>
    <row r="33" spans="1:12" x14ac:dyDescent="0.35">
      <c r="A33" t="s">
        <v>36</v>
      </c>
      <c r="B33">
        <v>147705.64987119401</v>
      </c>
      <c r="C33">
        <v>3639.5605293632502</v>
      </c>
      <c r="D33">
        <v>32886.902581647897</v>
      </c>
      <c r="E33">
        <v>139304.57942779799</v>
      </c>
      <c r="F33">
        <v>5182.30710223199</v>
      </c>
      <c r="H33">
        <f t="shared" si="1"/>
        <v>5.1693971077760938</v>
      </c>
      <c r="I33">
        <f t="shared" si="2"/>
        <v>3.5610489465075661</v>
      </c>
      <c r="J33">
        <f t="shared" si="3"/>
        <v>4.5170229718394745</v>
      </c>
      <c r="K33">
        <f t="shared" si="4"/>
        <v>5.1439653934342493</v>
      </c>
      <c r="L33">
        <f t="shared" si="5"/>
        <v>3.7145231455955483</v>
      </c>
    </row>
    <row r="34" spans="1:12" x14ac:dyDescent="0.35">
      <c r="A34" t="s">
        <v>37</v>
      </c>
      <c r="B34">
        <v>112324.095244411</v>
      </c>
      <c r="C34">
        <v>6058.4730998079003</v>
      </c>
      <c r="D34">
        <v>28637.1184438247</v>
      </c>
      <c r="E34">
        <v>41160.553553747501</v>
      </c>
      <c r="F34">
        <v>4233.65613277788</v>
      </c>
      <c r="H34">
        <f t="shared" si="1"/>
        <v>5.0504729290950898</v>
      </c>
      <c r="I34">
        <f t="shared" si="2"/>
        <v>3.7823631839214809</v>
      </c>
      <c r="J34">
        <f t="shared" si="3"/>
        <v>4.4569293157689813</v>
      </c>
      <c r="K34">
        <f t="shared" si="4"/>
        <v>4.6144812068027719</v>
      </c>
      <c r="L34">
        <f t="shared" si="5"/>
        <v>3.6267155807259619</v>
      </c>
    </row>
    <row r="35" spans="1:12" x14ac:dyDescent="0.35">
      <c r="A35" t="s">
        <v>38</v>
      </c>
      <c r="B35">
        <v>112890.643388829</v>
      </c>
      <c r="C35">
        <v>260155.979977657</v>
      </c>
      <c r="D35">
        <v>40946.559217469701</v>
      </c>
      <c r="E35">
        <v>33361.140066717497</v>
      </c>
      <c r="F35">
        <v>6030.0074665857601</v>
      </c>
      <c r="H35">
        <f t="shared" si="1"/>
        <v>5.0526579481872096</v>
      </c>
      <c r="I35">
        <f t="shared" si="2"/>
        <v>5.415233813093673</v>
      </c>
      <c r="J35">
        <f t="shared" si="3"/>
        <v>4.6122174134065981</v>
      </c>
      <c r="K35">
        <f t="shared" si="4"/>
        <v>4.5232408835791373</v>
      </c>
      <c r="L35">
        <f t="shared" si="5"/>
        <v>3.7803178499005141</v>
      </c>
    </row>
    <row r="36" spans="1:12" x14ac:dyDescent="0.35">
      <c r="A36" t="s">
        <v>39</v>
      </c>
      <c r="B36">
        <v>201979.05405528401</v>
      </c>
      <c r="C36">
        <v>8855.0118892656592</v>
      </c>
      <c r="D36">
        <v>51738.147290398803</v>
      </c>
      <c r="E36">
        <v>74538.910872873297</v>
      </c>
      <c r="F36">
        <v>7643.0326417802798</v>
      </c>
      <c r="H36">
        <f t="shared" si="1"/>
        <v>5.3053063339027</v>
      </c>
      <c r="I36">
        <f t="shared" si="2"/>
        <v>3.9471891486360882</v>
      </c>
      <c r="J36">
        <f t="shared" si="3"/>
        <v>4.7138108728543804</v>
      </c>
      <c r="K36">
        <f t="shared" si="4"/>
        <v>4.8723830427596928</v>
      </c>
      <c r="L36">
        <f t="shared" si="5"/>
        <v>3.8832657143690619</v>
      </c>
    </row>
    <row r="37" spans="1:12" x14ac:dyDescent="0.35">
      <c r="A37" t="s">
        <v>40</v>
      </c>
      <c r="B37">
        <v>159299.188424947</v>
      </c>
      <c r="C37">
        <v>2759.2820063837698</v>
      </c>
      <c r="D37">
        <v>21405.555250587699</v>
      </c>
      <c r="E37">
        <v>55491.513457508401</v>
      </c>
      <c r="F37">
        <v>3553.153258284</v>
      </c>
      <c r="H37">
        <f t="shared" si="1"/>
        <v>5.2022135632244524</v>
      </c>
      <c r="I37">
        <f t="shared" si="2"/>
        <v>3.440796088865389</v>
      </c>
      <c r="J37">
        <f t="shared" si="3"/>
        <v>4.330526497722242</v>
      </c>
      <c r="K37">
        <f t="shared" si="4"/>
        <v>4.7442265697822883</v>
      </c>
      <c r="L37">
        <f t="shared" si="5"/>
        <v>3.5506139403324397</v>
      </c>
    </row>
    <row r="38" spans="1:12" x14ac:dyDescent="0.35">
      <c r="A38" t="s">
        <v>41</v>
      </c>
      <c r="B38">
        <v>37163.202822243598</v>
      </c>
      <c r="C38">
        <v>881.56648648982298</v>
      </c>
      <c r="D38">
        <v>10161.879260243901</v>
      </c>
      <c r="E38">
        <v>28876.9295149639</v>
      </c>
      <c r="F38">
        <v>1760.2102258852201</v>
      </c>
      <c r="H38">
        <f t="shared" si="1"/>
        <v>4.5701131355715114</v>
      </c>
      <c r="I38">
        <f t="shared" si="2"/>
        <v>2.9452550717422934</v>
      </c>
      <c r="J38">
        <f t="shared" si="3"/>
        <v>4.0069740304757397</v>
      </c>
      <c r="K38">
        <f t="shared" si="4"/>
        <v>4.4605510128033945</v>
      </c>
      <c r="L38">
        <f t="shared" si="5"/>
        <v>3.2455645396832451</v>
      </c>
    </row>
    <row r="39" spans="1:12" x14ac:dyDescent="0.35">
      <c r="A39" t="s">
        <v>42</v>
      </c>
      <c r="B39">
        <v>152211.52779843501</v>
      </c>
      <c r="C39">
        <v>2070.6546935184701</v>
      </c>
      <c r="D39">
        <v>16513.5414821493</v>
      </c>
      <c r="E39">
        <v>44161.408621520197</v>
      </c>
      <c r="F39">
        <v>2744.11422380145</v>
      </c>
      <c r="H39">
        <f t="shared" si="1"/>
        <v>5.1824475451392908</v>
      </c>
      <c r="I39">
        <f t="shared" si="2"/>
        <v>3.3161076811228085</v>
      </c>
      <c r="J39">
        <f t="shared" si="3"/>
        <v>4.2178402217315565</v>
      </c>
      <c r="K39">
        <f t="shared" si="4"/>
        <v>4.6450429176830212</v>
      </c>
      <c r="L39">
        <f t="shared" si="5"/>
        <v>3.4384021849261921</v>
      </c>
    </row>
    <row r="40" spans="1:12" x14ac:dyDescent="0.35">
      <c r="A40" t="s">
        <v>43</v>
      </c>
      <c r="B40">
        <v>215869.27166797599</v>
      </c>
      <c r="C40">
        <v>1815.6722637350599</v>
      </c>
      <c r="D40">
        <v>13651.751766408601</v>
      </c>
      <c r="E40">
        <v>31246.136925937099</v>
      </c>
      <c r="F40">
        <v>2252.6256009683698</v>
      </c>
      <c r="H40">
        <f t="shared" si="1"/>
        <v>5.3341908262396895</v>
      </c>
      <c r="I40">
        <f t="shared" si="2"/>
        <v>3.2590374593301381</v>
      </c>
      <c r="J40">
        <f t="shared" si="3"/>
        <v>4.1351883827812941</v>
      </c>
      <c r="K40">
        <f t="shared" si="4"/>
        <v>4.4947963315855262</v>
      </c>
      <c r="L40">
        <f t="shared" si="5"/>
        <v>3.3526890155386608</v>
      </c>
    </row>
    <row r="41" spans="1:12" x14ac:dyDescent="0.35">
      <c r="A41" t="s">
        <v>44</v>
      </c>
      <c r="B41">
        <v>322919.40721169801</v>
      </c>
      <c r="C41">
        <v>5541.4065800465896</v>
      </c>
      <c r="D41">
        <v>43324.758080067797</v>
      </c>
      <c r="E41">
        <v>114923.523572167</v>
      </c>
      <c r="F41">
        <v>7198.6759585223699</v>
      </c>
      <c r="H41">
        <f t="shared" si="1"/>
        <v>5.5090941465708099</v>
      </c>
      <c r="I41">
        <f t="shared" si="2"/>
        <v>3.743620016067275</v>
      </c>
      <c r="J41">
        <f t="shared" si="3"/>
        <v>4.6367361463476406</v>
      </c>
      <c r="K41">
        <f t="shared" si="4"/>
        <v>5.060408933056852</v>
      </c>
      <c r="L41">
        <f t="shared" si="5"/>
        <v>3.8572526246554437</v>
      </c>
    </row>
    <row r="42" spans="1:12" x14ac:dyDescent="0.35">
      <c r="A42" t="s">
        <v>45</v>
      </c>
      <c r="B42">
        <v>785340.230464236</v>
      </c>
      <c r="C42">
        <v>13435.135399868999</v>
      </c>
      <c r="D42">
        <v>105311.741019687</v>
      </c>
      <c r="E42">
        <v>281522.37401371798</v>
      </c>
      <c r="F42">
        <v>17503.941422972501</v>
      </c>
      <c r="H42">
        <f t="shared" si="1"/>
        <v>5.8950578455372593</v>
      </c>
      <c r="I42">
        <f t="shared" si="2"/>
        <v>4.1282420476296</v>
      </c>
      <c r="J42">
        <f t="shared" si="3"/>
        <v>5.0224767926081721</v>
      </c>
      <c r="K42">
        <f t="shared" si="4"/>
        <v>5.4495129161484996</v>
      </c>
      <c r="L42">
        <f t="shared" si="5"/>
        <v>4.2431358512871133</v>
      </c>
    </row>
    <row r="43" spans="1:12" x14ac:dyDescent="0.35">
      <c r="A43" t="s">
        <v>46</v>
      </c>
      <c r="B43">
        <v>364692.77794602601</v>
      </c>
      <c r="C43">
        <v>6255.50983795301</v>
      </c>
      <c r="D43">
        <v>48925.757332586101</v>
      </c>
      <c r="E43">
        <v>129922.821547791</v>
      </c>
      <c r="F43">
        <v>8129.69476407005</v>
      </c>
      <c r="H43">
        <f t="shared" si="1"/>
        <v>5.561927163014234</v>
      </c>
      <c r="I43">
        <f t="shared" si="2"/>
        <v>3.796262711437322</v>
      </c>
      <c r="J43">
        <f t="shared" si="3"/>
        <v>4.6895375569221187</v>
      </c>
      <c r="K43">
        <f t="shared" si="4"/>
        <v>5.1136854436191603</v>
      </c>
      <c r="L43">
        <f t="shared" si="5"/>
        <v>3.9100742399644735</v>
      </c>
    </row>
    <row r="44" spans="1:12" x14ac:dyDescent="0.35">
      <c r="A44" t="s">
        <v>47</v>
      </c>
      <c r="B44">
        <v>93275.482497656005</v>
      </c>
      <c r="C44">
        <v>1714.3480182179801</v>
      </c>
      <c r="D44">
        <v>12653.738463392499</v>
      </c>
      <c r="E44">
        <v>28754.658845638602</v>
      </c>
      <c r="F44">
        <v>2087.6354793451601</v>
      </c>
      <c r="H44">
        <f t="shared" si="1"/>
        <v>4.9697675042476037</v>
      </c>
      <c r="I44">
        <f t="shared" si="2"/>
        <v>3.2340989897280394</v>
      </c>
      <c r="J44">
        <f t="shared" si="3"/>
        <v>4.1022188539038114</v>
      </c>
      <c r="K44">
        <f t="shared" si="4"/>
        <v>4.4587082193573035</v>
      </c>
      <c r="L44">
        <f t="shared" si="5"/>
        <v>3.3196546690767406</v>
      </c>
    </row>
    <row r="45" spans="1:12" x14ac:dyDescent="0.35">
      <c r="A45" t="s">
        <v>48</v>
      </c>
      <c r="B45">
        <v>226498.75102538301</v>
      </c>
      <c r="C45">
        <v>6108.9771078633003</v>
      </c>
      <c r="D45">
        <v>81183.792968659502</v>
      </c>
      <c r="E45">
        <v>112057.895349618</v>
      </c>
      <c r="F45">
        <v>14387.470652455901</v>
      </c>
      <c r="H45">
        <f t="shared" si="1"/>
        <v>5.355065811539669</v>
      </c>
      <c r="I45">
        <f t="shared" si="2"/>
        <v>3.7859684977057082</v>
      </c>
      <c r="J45">
        <f t="shared" si="3"/>
        <v>4.9094693380243504</v>
      </c>
      <c r="K45">
        <f t="shared" si="4"/>
        <v>5.0494424613706101</v>
      </c>
      <c r="L45">
        <f t="shared" si="5"/>
        <v>4.1579844507654267</v>
      </c>
    </row>
    <row r="46" spans="1:12" x14ac:dyDescent="0.35">
      <c r="A46" t="s">
        <v>49</v>
      </c>
      <c r="B46">
        <v>305346.64813305798</v>
      </c>
      <c r="C46">
        <v>7376.5228307872603</v>
      </c>
      <c r="D46">
        <v>86004.207425035202</v>
      </c>
      <c r="E46">
        <v>229500.02903065499</v>
      </c>
      <c r="F46">
        <v>14924.8446980935</v>
      </c>
      <c r="H46">
        <f t="shared" si="1"/>
        <v>5.484793156998311</v>
      </c>
      <c r="I46">
        <f t="shared" si="2"/>
        <v>3.8678516909196041</v>
      </c>
      <c r="J46">
        <f t="shared" si="3"/>
        <v>4.9345196979503028</v>
      </c>
      <c r="K46">
        <f t="shared" si="4"/>
        <v>5.3607827448094563</v>
      </c>
      <c r="L46">
        <f t="shared" si="5"/>
        <v>4.1739098207319305</v>
      </c>
    </row>
    <row r="47" spans="1:12" x14ac:dyDescent="0.35">
      <c r="A47" t="s">
        <v>50</v>
      </c>
      <c r="B47">
        <v>47828.041385067801</v>
      </c>
      <c r="C47">
        <v>770.386421430788</v>
      </c>
      <c r="D47">
        <v>7731.9446505754004</v>
      </c>
      <c r="E47">
        <v>7958.8581763800303</v>
      </c>
      <c r="F47">
        <v>1337.68603900374</v>
      </c>
      <c r="H47">
        <f t="shared" si="1"/>
        <v>4.679682596362789</v>
      </c>
      <c r="I47">
        <f t="shared" si="2"/>
        <v>2.8867086194570146</v>
      </c>
      <c r="J47">
        <f t="shared" si="3"/>
        <v>3.8882887364538101</v>
      </c>
      <c r="K47">
        <f t="shared" si="4"/>
        <v>3.9008507658196776</v>
      </c>
      <c r="L47">
        <f t="shared" si="5"/>
        <v>3.1263541945019697</v>
      </c>
    </row>
    <row r="48" spans="1:12" x14ac:dyDescent="0.35">
      <c r="A48" t="s">
        <v>51</v>
      </c>
      <c r="B48">
        <v>117505.21792236</v>
      </c>
      <c r="C48">
        <v>1681.1324234627</v>
      </c>
      <c r="D48">
        <v>10811.8426548642</v>
      </c>
      <c r="E48">
        <v>18417.582367617699</v>
      </c>
      <c r="F48">
        <v>1754.6401707068201</v>
      </c>
      <c r="H48">
        <f t="shared" si="1"/>
        <v>5.0700571522636935</v>
      </c>
      <c r="I48">
        <f t="shared" si="2"/>
        <v>3.225601924334172</v>
      </c>
      <c r="J48">
        <f t="shared" si="3"/>
        <v>4.0338997167694304</v>
      </c>
      <c r="K48">
        <f t="shared" si="4"/>
        <v>4.2652326207949747</v>
      </c>
      <c r="L48">
        <f t="shared" si="5"/>
        <v>3.2441880678679795</v>
      </c>
    </row>
    <row r="49" spans="1:12" x14ac:dyDescent="0.35">
      <c r="A49" t="s">
        <v>52</v>
      </c>
      <c r="B49">
        <v>22112.839290572501</v>
      </c>
      <c r="C49">
        <v>320.53046133076498</v>
      </c>
      <c r="D49">
        <v>2053.15563284261</v>
      </c>
      <c r="E49">
        <v>3476.3914890432602</v>
      </c>
      <c r="F49">
        <v>333.073914181563</v>
      </c>
      <c r="H49">
        <f t="shared" si="1"/>
        <v>4.3446445096099415</v>
      </c>
      <c r="I49">
        <f t="shared" si="2"/>
        <v>2.5058693086106261</v>
      </c>
      <c r="J49">
        <f t="shared" si="3"/>
        <v>3.312421870911237</v>
      </c>
      <c r="K49">
        <f t="shared" si="4"/>
        <v>3.5411286780060545</v>
      </c>
      <c r="L49">
        <f t="shared" si="5"/>
        <v>2.5225406207709629</v>
      </c>
    </row>
    <row r="50" spans="1:12" x14ac:dyDescent="0.35">
      <c r="A50" t="s">
        <v>53</v>
      </c>
      <c r="B50">
        <v>369608.39727425203</v>
      </c>
      <c r="C50">
        <v>6384.4331211865001</v>
      </c>
      <c r="D50">
        <v>49642.827190131102</v>
      </c>
      <c r="E50">
        <v>129563.088105263</v>
      </c>
      <c r="F50">
        <v>8242.7238803420005</v>
      </c>
      <c r="H50">
        <f t="shared" si="1"/>
        <v>5.5677418295622543</v>
      </c>
      <c r="I50">
        <f t="shared" si="2"/>
        <v>3.8051223419643372</v>
      </c>
      <c r="J50">
        <f t="shared" si="3"/>
        <v>4.6958565068740254</v>
      </c>
      <c r="K50">
        <f t="shared" si="4"/>
        <v>5.1124812907667607</v>
      </c>
      <c r="L50">
        <f t="shared" si="5"/>
        <v>3.9160707518329878</v>
      </c>
    </row>
    <row r="51" spans="1:12" x14ac:dyDescent="0.35">
      <c r="A51" t="s">
        <v>54</v>
      </c>
      <c r="B51">
        <v>38067.535099888803</v>
      </c>
      <c r="C51">
        <v>1211.3267054990199</v>
      </c>
      <c r="D51">
        <v>9696.5705309207005</v>
      </c>
      <c r="E51">
        <v>22695.111407290598</v>
      </c>
      <c r="F51">
        <v>1528.0962075239399</v>
      </c>
      <c r="H51">
        <f t="shared" si="1"/>
        <v>4.5805547568465821</v>
      </c>
      <c r="I51">
        <f t="shared" si="2"/>
        <v>3.0832612919949969</v>
      </c>
      <c r="J51">
        <f t="shared" si="3"/>
        <v>3.986618160776525</v>
      </c>
      <c r="K51">
        <f t="shared" si="4"/>
        <v>4.3559323189780876</v>
      </c>
      <c r="L51">
        <f t="shared" si="5"/>
        <v>3.1841506978793612</v>
      </c>
    </row>
    <row r="52" spans="1:12" x14ac:dyDescent="0.35">
      <c r="A52" t="s">
        <v>55</v>
      </c>
      <c r="B52">
        <v>255173.875190833</v>
      </c>
      <c r="C52">
        <v>2255.2798686700899</v>
      </c>
      <c r="D52">
        <v>16452.617426881199</v>
      </c>
      <c r="E52">
        <v>35171.078018851702</v>
      </c>
      <c r="F52">
        <v>2705.4680619993501</v>
      </c>
      <c r="H52">
        <f t="shared" si="1"/>
        <v>5.4068362090724822</v>
      </c>
      <c r="I52">
        <f t="shared" si="2"/>
        <v>3.3532004432770322</v>
      </c>
      <c r="J52">
        <f t="shared" si="3"/>
        <v>4.2162349991629338</v>
      </c>
      <c r="K52">
        <f t="shared" si="4"/>
        <v>4.5461856799593541</v>
      </c>
      <c r="L52">
        <f t="shared" si="5"/>
        <v>3.4322424114605004</v>
      </c>
    </row>
    <row r="53" spans="1:12" x14ac:dyDescent="0.35">
      <c r="A53" t="s">
        <v>56</v>
      </c>
      <c r="B53">
        <v>273999.26125362498</v>
      </c>
      <c r="C53">
        <v>4570.0573027331302</v>
      </c>
      <c r="D53">
        <v>36586.069750254799</v>
      </c>
      <c r="E53">
        <v>104536.889319543</v>
      </c>
      <c r="F53">
        <v>6097.5870119826204</v>
      </c>
      <c r="H53">
        <f t="shared" si="1"/>
        <v>5.4377493918937212</v>
      </c>
      <c r="I53">
        <f t="shared" si="2"/>
        <v>3.6599216456070001</v>
      </c>
      <c r="J53">
        <f t="shared" si="3"/>
        <v>4.5633157580120391</v>
      </c>
      <c r="K53">
        <f t="shared" si="4"/>
        <v>5.01926957275181</v>
      </c>
      <c r="L53">
        <f t="shared" si="5"/>
        <v>3.7851580063706454</v>
      </c>
    </row>
    <row r="54" spans="1:12" x14ac:dyDescent="0.35">
      <c r="A54" t="s">
        <v>57</v>
      </c>
      <c r="B54">
        <v>129028.45111805599</v>
      </c>
      <c r="C54">
        <v>2229.2328471846799</v>
      </c>
      <c r="D54">
        <v>17330.653074152899</v>
      </c>
      <c r="E54">
        <v>45208.6177575908</v>
      </c>
      <c r="F54">
        <v>2877.52913339828</v>
      </c>
      <c r="H54">
        <f t="shared" si="1"/>
        <v>5.1106854839519</v>
      </c>
      <c r="I54">
        <f t="shared" si="2"/>
        <v>3.3481554336511437</v>
      </c>
      <c r="J54">
        <f t="shared" si="3"/>
        <v>4.238814928620255</v>
      </c>
      <c r="K54">
        <f t="shared" si="4"/>
        <v>4.6552212287899257</v>
      </c>
      <c r="L54">
        <f t="shared" si="5"/>
        <v>3.4590197293166209</v>
      </c>
    </row>
    <row r="55" spans="1:12" x14ac:dyDescent="0.35">
      <c r="A55" t="s">
        <v>58</v>
      </c>
      <c r="B55">
        <v>286257.30815087102</v>
      </c>
      <c r="C55">
        <v>8823.7977886671597</v>
      </c>
      <c r="D55">
        <v>74948.7604050636</v>
      </c>
      <c r="E55">
        <v>191389.94964070799</v>
      </c>
      <c r="F55">
        <v>11806.645189487601</v>
      </c>
      <c r="H55">
        <f t="shared" si="1"/>
        <v>5.456756583030324</v>
      </c>
      <c r="I55">
        <f t="shared" si="2"/>
        <v>3.9456555469987387</v>
      </c>
      <c r="J55">
        <f t="shared" si="3"/>
        <v>4.8747644543465052</v>
      </c>
      <c r="K55">
        <f t="shared" si="4"/>
        <v>5.2819191281629605</v>
      </c>
      <c r="L55">
        <f t="shared" si="5"/>
        <v>4.0721265121206578</v>
      </c>
    </row>
    <row r="56" spans="1:12" x14ac:dyDescent="0.35">
      <c r="A56" t="s">
        <v>59</v>
      </c>
      <c r="B56">
        <v>926593.480035663</v>
      </c>
      <c r="C56">
        <v>2401.94196259097</v>
      </c>
      <c r="D56">
        <v>17784.364762880799</v>
      </c>
      <c r="E56">
        <v>39281.553719634598</v>
      </c>
      <c r="F56">
        <v>2929.3603320504899</v>
      </c>
      <c r="H56">
        <f t="shared" si="1"/>
        <v>5.9668892399697739</v>
      </c>
      <c r="I56">
        <f t="shared" si="2"/>
        <v>3.3805625094653062</v>
      </c>
      <c r="J56">
        <f t="shared" si="3"/>
        <v>4.2500383572978704</v>
      </c>
      <c r="K56">
        <f t="shared" si="4"/>
        <v>4.594188657284942</v>
      </c>
      <c r="L56">
        <f t="shared" si="5"/>
        <v>3.4667727962620303</v>
      </c>
    </row>
    <row r="57" spans="1:12" x14ac:dyDescent="0.35">
      <c r="A57" t="s">
        <v>60</v>
      </c>
      <c r="B57">
        <v>354922.69998748001</v>
      </c>
      <c r="C57">
        <v>4373.9383921020599</v>
      </c>
      <c r="D57">
        <v>44867.500144769903</v>
      </c>
      <c r="E57">
        <v>45860.493446410997</v>
      </c>
      <c r="F57">
        <v>7792.8807885872502</v>
      </c>
      <c r="H57">
        <f t="shared" si="1"/>
        <v>5.5501337766483338</v>
      </c>
      <c r="I57">
        <f t="shared" si="2"/>
        <v>3.6408726616100435</v>
      </c>
      <c r="J57">
        <f t="shared" si="3"/>
        <v>4.6519318728855072</v>
      </c>
      <c r="K57">
        <f t="shared" si="4"/>
        <v>4.6614387233093257</v>
      </c>
      <c r="L57">
        <f t="shared" si="5"/>
        <v>3.8916980326802539</v>
      </c>
    </row>
    <row r="58" spans="1:12" x14ac:dyDescent="0.35">
      <c r="A58" t="s">
        <v>61</v>
      </c>
      <c r="B58">
        <v>418471.73866232799</v>
      </c>
      <c r="C58">
        <v>1209.77457435885</v>
      </c>
      <c r="D58">
        <v>8656.9292766049093</v>
      </c>
      <c r="E58">
        <v>17775.214540071302</v>
      </c>
      <c r="F58">
        <v>1420.5081617956801</v>
      </c>
      <c r="H58">
        <f t="shared" si="1"/>
        <v>5.6216661333987075</v>
      </c>
      <c r="I58">
        <f t="shared" si="2"/>
        <v>3.0827044527687151</v>
      </c>
      <c r="J58">
        <f t="shared" si="3"/>
        <v>3.9373638695323421</v>
      </c>
      <c r="K58">
        <f t="shared" si="4"/>
        <v>4.2498148512024692</v>
      </c>
      <c r="L58">
        <f t="shared" si="5"/>
        <v>3.1524437333864048</v>
      </c>
    </row>
    <row r="59" spans="1:12" x14ac:dyDescent="0.35">
      <c r="A59" t="s">
        <v>62</v>
      </c>
      <c r="B59">
        <v>1047882.29306791</v>
      </c>
      <c r="C59">
        <v>4258.9251477936104</v>
      </c>
      <c r="D59">
        <v>32458.869952168901</v>
      </c>
      <c r="E59">
        <v>76779.221763867798</v>
      </c>
      <c r="F59">
        <v>5364.3884766975898</v>
      </c>
      <c r="H59">
        <f t="shared" si="1"/>
        <v>6.0203125017869592</v>
      </c>
      <c r="I59">
        <f t="shared" si="2"/>
        <v>3.6293000072524619</v>
      </c>
      <c r="J59">
        <f t="shared" si="3"/>
        <v>4.5113333958943933</v>
      </c>
      <c r="K59">
        <f t="shared" si="4"/>
        <v>4.8852437057838509</v>
      </c>
      <c r="L59">
        <f t="shared" si="5"/>
        <v>3.7295202209277063</v>
      </c>
    </row>
    <row r="60" spans="1:12" x14ac:dyDescent="0.35">
      <c r="A60" t="s">
        <v>63</v>
      </c>
      <c r="B60">
        <v>138288.43147064999</v>
      </c>
      <c r="C60">
        <v>769.608648973051</v>
      </c>
      <c r="D60">
        <v>5512.3996720180803</v>
      </c>
      <c r="E60">
        <v>11340.3690107</v>
      </c>
      <c r="F60">
        <v>904.61889753261198</v>
      </c>
      <c r="H60">
        <f t="shared" si="1"/>
        <v>5.1407858506906381</v>
      </c>
      <c r="I60">
        <f t="shared" si="2"/>
        <v>2.8862699397212377</v>
      </c>
      <c r="J60">
        <f t="shared" si="3"/>
        <v>3.7413406982064275</v>
      </c>
      <c r="K60">
        <f t="shared" si="4"/>
        <v>4.0546271865413113</v>
      </c>
      <c r="L60">
        <f t="shared" si="5"/>
        <v>2.9564656559374383</v>
      </c>
    </row>
    <row r="61" spans="1:12" x14ac:dyDescent="0.35">
      <c r="A61" t="s">
        <v>64</v>
      </c>
      <c r="B61">
        <v>116086.133543873</v>
      </c>
      <c r="C61">
        <v>1983.34809526708</v>
      </c>
      <c r="D61">
        <v>17926.134875260301</v>
      </c>
      <c r="E61">
        <v>19058.607380048601</v>
      </c>
      <c r="F61">
        <v>3047.6762974821399</v>
      </c>
      <c r="H61">
        <f t="shared" si="1"/>
        <v>5.0647803464824515</v>
      </c>
      <c r="I61">
        <f t="shared" si="2"/>
        <v>3.2973989434471274</v>
      </c>
      <c r="J61">
        <f t="shared" si="3"/>
        <v>4.2534866597072831</v>
      </c>
      <c r="K61">
        <f t="shared" si="4"/>
        <v>4.2800911633927328</v>
      </c>
      <c r="L61">
        <f t="shared" si="5"/>
        <v>3.4839688374435331</v>
      </c>
    </row>
    <row r="62" spans="1:12" x14ac:dyDescent="0.35">
      <c r="A62" t="s">
        <v>65</v>
      </c>
      <c r="B62">
        <v>406040.06481619203</v>
      </c>
      <c r="C62">
        <v>2570.2629614757798</v>
      </c>
      <c r="D62">
        <v>20555.995578178801</v>
      </c>
      <c r="E62">
        <v>55434.2360053718</v>
      </c>
      <c r="F62">
        <v>3417.0602069811098</v>
      </c>
      <c r="H62">
        <f t="shared" si="1"/>
        <v>5.608568888429704</v>
      </c>
      <c r="I62">
        <f t="shared" si="2"/>
        <v>3.4099775579132761</v>
      </c>
      <c r="J62">
        <f t="shared" si="3"/>
        <v>4.3129385155916156</v>
      </c>
      <c r="K62">
        <f t="shared" si="4"/>
        <v>4.7437780664594502</v>
      </c>
      <c r="L62">
        <f t="shared" si="5"/>
        <v>3.5336526309290854</v>
      </c>
    </row>
    <row r="63" spans="1:12" x14ac:dyDescent="0.35">
      <c r="A63" t="s">
        <v>66</v>
      </c>
      <c r="B63">
        <v>117374.277203191</v>
      </c>
      <c r="C63">
        <v>5286.8208766098296</v>
      </c>
      <c r="D63">
        <v>41699.497801229198</v>
      </c>
      <c r="E63">
        <v>60077.192096803898</v>
      </c>
      <c r="F63">
        <v>5888.2968758875704</v>
      </c>
      <c r="H63">
        <f t="shared" si="1"/>
        <v>5.0695729308747453</v>
      </c>
      <c r="I63">
        <f t="shared" si="2"/>
        <v>3.7231945962727564</v>
      </c>
      <c r="J63">
        <f t="shared" si="3"/>
        <v>4.6201308246747574</v>
      </c>
      <c r="K63">
        <f t="shared" si="4"/>
        <v>4.7787096263036855</v>
      </c>
      <c r="L63">
        <f t="shared" si="5"/>
        <v>3.7699896981211363</v>
      </c>
    </row>
    <row r="64" spans="1:12" x14ac:dyDescent="0.35">
      <c r="A64" t="s">
        <v>67</v>
      </c>
      <c r="B64">
        <v>59137.383398812301</v>
      </c>
      <c r="C64">
        <v>3230.54866433507</v>
      </c>
      <c r="D64">
        <v>107139.559677709</v>
      </c>
      <c r="E64">
        <v>22415.752449939198</v>
      </c>
      <c r="F64">
        <v>11446.4190803028</v>
      </c>
      <c r="H64">
        <f t="shared" si="1"/>
        <v>4.7718621047589709</v>
      </c>
      <c r="I64">
        <f t="shared" si="2"/>
        <v>3.5092762875501551</v>
      </c>
      <c r="J64">
        <f t="shared" si="3"/>
        <v>5.0299498571765255</v>
      </c>
      <c r="K64">
        <f t="shared" si="4"/>
        <v>4.3505533218041617</v>
      </c>
      <c r="L64">
        <f t="shared" si="5"/>
        <v>4.058669642405075</v>
      </c>
    </row>
    <row r="65" spans="1:12" x14ac:dyDescent="0.35">
      <c r="A65" t="s">
        <v>68</v>
      </c>
      <c r="B65">
        <v>60629.987991908201</v>
      </c>
      <c r="C65">
        <v>1716.52675539147</v>
      </c>
      <c r="D65">
        <v>26798.719142744401</v>
      </c>
      <c r="E65">
        <v>31681.722048915999</v>
      </c>
      <c r="F65">
        <v>4909.0686664077002</v>
      </c>
      <c r="H65">
        <f t="shared" si="1"/>
        <v>4.7826874822206413</v>
      </c>
      <c r="I65">
        <f t="shared" si="2"/>
        <v>3.2346505771345146</v>
      </c>
      <c r="J65">
        <f t="shared" si="3"/>
        <v>4.4281140372179095</v>
      </c>
      <c r="K65">
        <f t="shared" si="4"/>
        <v>4.5008087794836218</v>
      </c>
      <c r="L65">
        <f t="shared" si="5"/>
        <v>3.6909991069080563</v>
      </c>
    </row>
    <row r="66" spans="1:12" x14ac:dyDescent="0.35">
      <c r="A66" t="s">
        <v>69</v>
      </c>
      <c r="B66">
        <v>114432.83082347301</v>
      </c>
      <c r="C66">
        <v>940.58144689289304</v>
      </c>
      <c r="D66">
        <v>7989.6445563431598</v>
      </c>
      <c r="E66">
        <v>8649.2862360639392</v>
      </c>
      <c r="F66">
        <v>1345.64975683443</v>
      </c>
      <c r="H66">
        <f t="shared" si="1"/>
        <v>5.0585506415892345</v>
      </c>
      <c r="I66">
        <f t="shared" si="2"/>
        <v>2.9733964079721424</v>
      </c>
      <c r="J66">
        <f t="shared" si="3"/>
        <v>3.9025274588318273</v>
      </c>
      <c r="K66">
        <f t="shared" si="4"/>
        <v>3.936980269715816</v>
      </c>
      <c r="L66">
        <f t="shared" si="5"/>
        <v>3.1289320372522278</v>
      </c>
    </row>
    <row r="67" spans="1:12" x14ac:dyDescent="0.35">
      <c r="A67" t="s">
        <v>70</v>
      </c>
      <c r="B67">
        <v>234468.90300854499</v>
      </c>
      <c r="C67">
        <v>2200.9550604770602</v>
      </c>
      <c r="D67">
        <v>18020.090137626699</v>
      </c>
      <c r="E67">
        <v>52289.583770085701</v>
      </c>
      <c r="F67">
        <v>3004.3560063925402</v>
      </c>
      <c r="H67">
        <f t="shared" ref="H67:H130" si="6">LOG(B67)</f>
        <v>5.3700852515400745</v>
      </c>
      <c r="I67">
        <f t="shared" si="2"/>
        <v>3.3426111751357732</v>
      </c>
      <c r="J67">
        <f t="shared" si="3"/>
        <v>4.2557569590168498</v>
      </c>
      <c r="K67">
        <f t="shared" si="4"/>
        <v>4.7184151848192437</v>
      </c>
      <c r="L67">
        <f t="shared" si="5"/>
        <v>3.4777513938617428</v>
      </c>
    </row>
    <row r="68" spans="1:12" x14ac:dyDescent="0.35">
      <c r="A68" t="s">
        <v>71</v>
      </c>
      <c r="B68">
        <v>492128.80106642499</v>
      </c>
      <c r="C68">
        <v>3346.7965363804901</v>
      </c>
      <c r="D68">
        <v>29411.046115224999</v>
      </c>
      <c r="E68">
        <v>34662.660031094201</v>
      </c>
      <c r="F68">
        <v>4978.6326762461504</v>
      </c>
      <c r="H68">
        <f t="shared" si="6"/>
        <v>5.6920787821814178</v>
      </c>
      <c r="I68">
        <f t="shared" si="2"/>
        <v>3.5246293108599818</v>
      </c>
      <c r="J68">
        <f t="shared" si="3"/>
        <v>4.4685104721095756</v>
      </c>
      <c r="K68">
        <f t="shared" si="4"/>
        <v>4.5398618876478931</v>
      </c>
      <c r="L68">
        <f t="shared" si="5"/>
        <v>3.6971100851900673</v>
      </c>
    </row>
    <row r="69" spans="1:12" x14ac:dyDescent="0.35">
      <c r="A69" t="s">
        <v>72</v>
      </c>
      <c r="B69">
        <v>6757.4616289381302</v>
      </c>
      <c r="C69">
        <v>741.10925668006701</v>
      </c>
      <c r="D69">
        <v>2224.2330178808302</v>
      </c>
      <c r="E69">
        <v>2260.1689540823099</v>
      </c>
      <c r="F69">
        <v>325.98509267936601</v>
      </c>
      <c r="H69">
        <f t="shared" si="6"/>
        <v>3.829783588312643</v>
      </c>
      <c r="I69">
        <f t="shared" si="2"/>
        <v>2.8698822377708382</v>
      </c>
      <c r="J69">
        <f t="shared" si="3"/>
        <v>3.3471802833950508</v>
      </c>
      <c r="K69">
        <f t="shared" si="4"/>
        <v>3.3541409051133511</v>
      </c>
      <c r="L69">
        <f t="shared" si="5"/>
        <v>2.5131977402056043</v>
      </c>
    </row>
    <row r="70" spans="1:12" x14ac:dyDescent="0.35">
      <c r="A70" t="s">
        <v>73</v>
      </c>
      <c r="B70">
        <v>142242.36576541699</v>
      </c>
      <c r="C70">
        <v>1822.91995677817</v>
      </c>
      <c r="D70">
        <v>18020.994458544199</v>
      </c>
      <c r="E70">
        <v>18639.384970877702</v>
      </c>
      <c r="F70">
        <v>3109.50325764126</v>
      </c>
      <c r="H70">
        <f t="shared" si="6"/>
        <v>5.1530289668426867</v>
      </c>
      <c r="I70">
        <f t="shared" si="2"/>
        <v>3.2607675994872642</v>
      </c>
      <c r="J70">
        <f t="shared" si="3"/>
        <v>4.2557787531214846</v>
      </c>
      <c r="K70">
        <f t="shared" si="4"/>
        <v>4.2704315781810163</v>
      </c>
      <c r="L70">
        <f t="shared" si="5"/>
        <v>3.4926910161342284</v>
      </c>
    </row>
    <row r="71" spans="1:12" x14ac:dyDescent="0.35">
      <c r="A71" t="s">
        <v>74</v>
      </c>
      <c r="B71">
        <v>132637.66700684401</v>
      </c>
      <c r="C71">
        <v>1650.1966968924501</v>
      </c>
      <c r="D71">
        <v>11053.733729372099</v>
      </c>
      <c r="E71">
        <v>20091.8054397263</v>
      </c>
      <c r="F71">
        <v>1801.18332362098</v>
      </c>
      <c r="H71">
        <f t="shared" si="6"/>
        <v>5.1226668743720261</v>
      </c>
      <c r="I71">
        <f t="shared" si="2"/>
        <v>3.2175357134767384</v>
      </c>
      <c r="J71">
        <f t="shared" si="3"/>
        <v>4.0435089987605757</v>
      </c>
      <c r="K71">
        <f t="shared" si="4"/>
        <v>4.3030189639896825</v>
      </c>
      <c r="L71">
        <f t="shared" si="5"/>
        <v>3.2555579173643387</v>
      </c>
    </row>
    <row r="72" spans="1:12" x14ac:dyDescent="0.35">
      <c r="A72" t="s">
        <v>75</v>
      </c>
      <c r="B72">
        <v>173009.89333019301</v>
      </c>
      <c r="C72">
        <v>1894.7259038028201</v>
      </c>
      <c r="D72">
        <v>15703.894543742699</v>
      </c>
      <c r="E72">
        <v>47486.290843212802</v>
      </c>
      <c r="F72">
        <v>2622.30696037195</v>
      </c>
      <c r="H72">
        <f t="shared" si="6"/>
        <v>5.2380709383649808</v>
      </c>
      <c r="I72">
        <f t="shared" si="2"/>
        <v>3.2775463926282362</v>
      </c>
      <c r="J72">
        <f t="shared" si="3"/>
        <v>4.1960073701869316</v>
      </c>
      <c r="K72">
        <f t="shared" si="4"/>
        <v>4.6765682481409572</v>
      </c>
      <c r="L72">
        <f t="shared" si="5"/>
        <v>3.4186835277022221</v>
      </c>
    </row>
    <row r="73" spans="1:12" x14ac:dyDescent="0.35">
      <c r="A73" t="s">
        <v>76</v>
      </c>
      <c r="B73">
        <v>86745.497234081995</v>
      </c>
      <c r="C73">
        <v>3586.6507231135201</v>
      </c>
      <c r="D73">
        <v>86949.448218546604</v>
      </c>
      <c r="E73">
        <v>41489.382290803602</v>
      </c>
      <c r="F73">
        <v>17883.817428723702</v>
      </c>
      <c r="H73">
        <f t="shared" si="6"/>
        <v>4.9382469407868985</v>
      </c>
      <c r="I73">
        <f t="shared" si="2"/>
        <v>3.5546890860681772</v>
      </c>
      <c r="J73">
        <f t="shared" si="3"/>
        <v>4.9392668303134206</v>
      </c>
      <c r="K73">
        <f t="shared" si="4"/>
        <v>4.617936968940989</v>
      </c>
      <c r="L73">
        <f t="shared" si="5"/>
        <v>4.252460227618351</v>
      </c>
    </row>
    <row r="74" spans="1:12" x14ac:dyDescent="0.35">
      <c r="A74" t="s">
        <v>77</v>
      </c>
      <c r="B74">
        <v>611483.79472211597</v>
      </c>
      <c r="C74">
        <v>1956.60865103009</v>
      </c>
      <c r="D74">
        <v>16169.221706369101</v>
      </c>
      <c r="E74">
        <v>23179.351736383702</v>
      </c>
      <c r="F74">
        <v>2712.5487192747701</v>
      </c>
      <c r="H74">
        <f t="shared" si="6"/>
        <v>5.7863849520411197</v>
      </c>
      <c r="I74">
        <f t="shared" si="2"/>
        <v>3.2915039694013584</v>
      </c>
      <c r="J74">
        <f t="shared" si="3"/>
        <v>4.2086891159630513</v>
      </c>
      <c r="K74">
        <f t="shared" si="4"/>
        <v>4.3651012857583682</v>
      </c>
      <c r="L74">
        <f t="shared" si="5"/>
        <v>3.433377547159695</v>
      </c>
    </row>
    <row r="75" spans="1:12" x14ac:dyDescent="0.35">
      <c r="A75" t="s">
        <v>78</v>
      </c>
      <c r="B75">
        <v>73528.091782432602</v>
      </c>
      <c r="C75">
        <v>4371.30769331581</v>
      </c>
      <c r="D75">
        <v>107350.335359718</v>
      </c>
      <c r="E75">
        <v>27230.910083348499</v>
      </c>
      <c r="F75">
        <v>12314.776029307801</v>
      </c>
      <c r="H75">
        <f t="shared" si="6"/>
        <v>4.8664532952099648</v>
      </c>
      <c r="I75">
        <f t="shared" si="2"/>
        <v>3.6406113772528692</v>
      </c>
      <c r="J75">
        <f t="shared" si="3"/>
        <v>5.0308034054993049</v>
      </c>
      <c r="K75">
        <f t="shared" si="4"/>
        <v>4.4350621561240828</v>
      </c>
      <c r="L75">
        <f t="shared" si="5"/>
        <v>4.0904265176675905</v>
      </c>
    </row>
    <row r="76" spans="1:12" x14ac:dyDescent="0.35">
      <c r="A76" t="s">
        <v>79</v>
      </c>
      <c r="B76">
        <v>159864.684646145</v>
      </c>
      <c r="C76">
        <v>2803.8284529120201</v>
      </c>
      <c r="D76">
        <v>21525.495994382702</v>
      </c>
      <c r="E76">
        <v>54172.4202117729</v>
      </c>
      <c r="F76">
        <v>3568.3923201828902</v>
      </c>
      <c r="H76">
        <f t="shared" si="6"/>
        <v>5.2037525353082019</v>
      </c>
      <c r="I76">
        <f t="shared" si="2"/>
        <v>3.4477514385981936</v>
      </c>
      <c r="J76">
        <f t="shared" si="3"/>
        <v>4.3329531673332049</v>
      </c>
      <c r="K76">
        <f t="shared" si="4"/>
        <v>4.7337782385988048</v>
      </c>
      <c r="L76">
        <f t="shared" si="5"/>
        <v>3.5524725960191175</v>
      </c>
    </row>
    <row r="77" spans="1:12" x14ac:dyDescent="0.35">
      <c r="A77" t="s">
        <v>80</v>
      </c>
      <c r="B77">
        <v>1299261.0658525999</v>
      </c>
      <c r="C77">
        <v>1779.2406910908401</v>
      </c>
      <c r="D77">
        <v>14076.819721694799</v>
      </c>
      <c r="E77">
        <v>26419.085024424199</v>
      </c>
      <c r="F77">
        <v>2347.5402850810701</v>
      </c>
      <c r="H77">
        <f t="shared" si="6"/>
        <v>6.1136964244121614</v>
      </c>
      <c r="I77">
        <f t="shared" si="2"/>
        <v>3.2502347022952498</v>
      </c>
      <c r="J77">
        <f t="shared" si="3"/>
        <v>4.1485045487459349</v>
      </c>
      <c r="K77">
        <f t="shared" si="4"/>
        <v>4.4219177725622094</v>
      </c>
      <c r="L77">
        <f t="shared" si="5"/>
        <v>3.3706130537340138</v>
      </c>
    </row>
    <row r="78" spans="1:12" x14ac:dyDescent="0.35">
      <c r="A78" t="s">
        <v>81</v>
      </c>
      <c r="B78">
        <v>495087.51322743099</v>
      </c>
      <c r="C78">
        <v>4095.5877578790501</v>
      </c>
      <c r="D78">
        <v>30882.836850076801</v>
      </c>
      <c r="E78">
        <v>71172.004961638595</v>
      </c>
      <c r="F78">
        <v>5097.5649636370399</v>
      </c>
      <c r="H78">
        <f t="shared" si="6"/>
        <v>5.6946819729790104</v>
      </c>
      <c r="I78">
        <f t="shared" si="2"/>
        <v>3.6123162361786121</v>
      </c>
      <c r="J78">
        <f t="shared" si="3"/>
        <v>4.4897171871218102</v>
      </c>
      <c r="K78">
        <f t="shared" si="4"/>
        <v>4.852309200357082</v>
      </c>
      <c r="L78">
        <f t="shared" si="5"/>
        <v>3.7073627691572524</v>
      </c>
    </row>
    <row r="79" spans="1:12" x14ac:dyDescent="0.35">
      <c r="A79" t="s">
        <v>82</v>
      </c>
      <c r="B79">
        <v>157641.42362062199</v>
      </c>
      <c r="C79">
        <v>2732.8156775461598</v>
      </c>
      <c r="D79">
        <v>21185.667603106202</v>
      </c>
      <c r="E79">
        <v>54812.204976173802</v>
      </c>
      <c r="F79">
        <v>3516.34873160597</v>
      </c>
      <c r="H79">
        <f t="shared" si="6"/>
        <v>5.1976703482170921</v>
      </c>
      <c r="I79">
        <f t="shared" si="2"/>
        <v>3.4366103404653869</v>
      </c>
      <c r="J79">
        <f t="shared" si="3"/>
        <v>4.3260421540475038</v>
      </c>
      <c r="K79">
        <f t="shared" si="4"/>
        <v>4.7388772731490745</v>
      </c>
      <c r="L79">
        <f t="shared" si="5"/>
        <v>3.5460919394113479</v>
      </c>
    </row>
    <row r="80" spans="1:12" x14ac:dyDescent="0.35">
      <c r="A80" t="s">
        <v>83</v>
      </c>
      <c r="B80">
        <v>126452.852223101</v>
      </c>
      <c r="C80">
        <v>2997.4283165908701</v>
      </c>
      <c r="D80">
        <v>34553.2103703389</v>
      </c>
      <c r="E80">
        <v>98514.106429601205</v>
      </c>
      <c r="F80">
        <v>5985.2490490755499</v>
      </c>
      <c r="H80">
        <f t="shared" si="6"/>
        <v>5.101928629574326</v>
      </c>
      <c r="I80">
        <f t="shared" si="2"/>
        <v>3.4767488057554456</v>
      </c>
      <c r="J80">
        <f t="shared" si="3"/>
        <v>4.5384884042818729</v>
      </c>
      <c r="K80">
        <f t="shared" si="4"/>
        <v>4.9934984224356072</v>
      </c>
      <c r="L80">
        <f t="shared" si="5"/>
        <v>3.7770822263195214</v>
      </c>
    </row>
    <row r="81" spans="1:12" x14ac:dyDescent="0.35">
      <c r="A81" t="s">
        <v>84</v>
      </c>
      <c r="B81">
        <v>2951.82904498681</v>
      </c>
      <c r="C81">
        <v>309.62551245154998</v>
      </c>
      <c r="D81">
        <v>950.75196903476206</v>
      </c>
      <c r="E81">
        <v>972.69755088327099</v>
      </c>
      <c r="F81">
        <v>139.74270679794199</v>
      </c>
      <c r="H81">
        <f t="shared" si="6"/>
        <v>3.4700912017388146</v>
      </c>
      <c r="I81">
        <f t="shared" si="2"/>
        <v>2.4908367383817698</v>
      </c>
      <c r="J81">
        <f t="shared" si="3"/>
        <v>2.9780672335209553</v>
      </c>
      <c r="K81">
        <f t="shared" si="4"/>
        <v>2.987977822383943</v>
      </c>
      <c r="L81">
        <f t="shared" si="5"/>
        <v>2.1453291512270738</v>
      </c>
    </row>
    <row r="82" spans="1:12" x14ac:dyDescent="0.35">
      <c r="A82" t="s">
        <v>85</v>
      </c>
      <c r="B82">
        <v>100738.07837539499</v>
      </c>
      <c r="C82">
        <v>5599.19486912707</v>
      </c>
      <c r="D82">
        <v>170104.590927735</v>
      </c>
      <c r="E82">
        <v>37914.769966423497</v>
      </c>
      <c r="F82">
        <v>18621.1138755967</v>
      </c>
      <c r="H82">
        <f t="shared" si="6"/>
        <v>5.0031936622361863</v>
      </c>
      <c r="I82">
        <f t="shared" ref="I82:I145" si="7">LOG(C82)</f>
        <v>3.748125582535859</v>
      </c>
      <c r="J82">
        <f t="shared" ref="J82:J145" si="8">LOG(D82)</f>
        <v>5.2307160348805084</v>
      </c>
      <c r="K82">
        <f t="shared" ref="K82:K145" si="9">LOG(E82)</f>
        <v>4.5788084254124932</v>
      </c>
      <c r="L82">
        <f t="shared" ref="L82:L145" si="10">LOG(F82)</f>
        <v>4.2700056559985153</v>
      </c>
    </row>
    <row r="83" spans="1:12" x14ac:dyDescent="0.35">
      <c r="A83" t="s">
        <v>86</v>
      </c>
      <c r="B83">
        <v>88252.303038932005</v>
      </c>
      <c r="C83">
        <v>2974.5208669850999</v>
      </c>
      <c r="D83">
        <v>34156.0527151969</v>
      </c>
      <c r="E83">
        <v>24624.293095498499</v>
      </c>
      <c r="F83">
        <v>5823.7232566800203</v>
      </c>
      <c r="H83">
        <f t="shared" si="6"/>
        <v>4.9457260475901608</v>
      </c>
      <c r="I83">
        <f t="shared" si="7"/>
        <v>3.4734170199527625</v>
      </c>
      <c r="J83">
        <f t="shared" si="8"/>
        <v>4.5334676751592013</v>
      </c>
      <c r="K83">
        <f t="shared" si="9"/>
        <v>4.3913637717937766</v>
      </c>
      <c r="L83">
        <f t="shared" si="10"/>
        <v>3.7652007291222209</v>
      </c>
    </row>
    <row r="84" spans="1:12" x14ac:dyDescent="0.35">
      <c r="A84" t="s">
        <v>87</v>
      </c>
      <c r="B84">
        <v>982209.11181181204</v>
      </c>
      <c r="C84">
        <v>6568.4914462179204</v>
      </c>
      <c r="D84">
        <v>52796.307332386597</v>
      </c>
      <c r="E84">
        <v>144540.57431127</v>
      </c>
      <c r="F84">
        <v>8781.9001087986599</v>
      </c>
      <c r="H84">
        <f t="shared" si="6"/>
        <v>5.9922039587013423</v>
      </c>
      <c r="I84">
        <f t="shared" si="7"/>
        <v>3.8174656386905599</v>
      </c>
      <c r="J84">
        <f t="shared" si="8"/>
        <v>4.7226035482677196</v>
      </c>
      <c r="K84">
        <f t="shared" si="9"/>
        <v>5.1599897759923365</v>
      </c>
      <c r="L84">
        <f t="shared" si="10"/>
        <v>3.9435884928407603</v>
      </c>
    </row>
    <row r="85" spans="1:12" x14ac:dyDescent="0.35">
      <c r="A85" t="s">
        <v>88</v>
      </c>
      <c r="B85">
        <v>63197.866712674098</v>
      </c>
      <c r="C85">
        <v>980.23054230638695</v>
      </c>
      <c r="D85">
        <v>6145.9919259907701</v>
      </c>
      <c r="E85">
        <v>10086.7893019966</v>
      </c>
      <c r="F85">
        <v>994.99412274021802</v>
      </c>
      <c r="H85">
        <f t="shared" si="6"/>
        <v>4.800702418621773</v>
      </c>
      <c r="I85">
        <f t="shared" si="7"/>
        <v>2.9913282302603479</v>
      </c>
      <c r="J85">
        <f t="shared" si="8"/>
        <v>3.7885919853866858</v>
      </c>
      <c r="K85">
        <f t="shared" si="9"/>
        <v>4.0037529491581836</v>
      </c>
      <c r="L85">
        <f t="shared" si="10"/>
        <v>2.9978205154502175</v>
      </c>
    </row>
    <row r="86" spans="1:12" x14ac:dyDescent="0.35">
      <c r="A86" t="s">
        <v>89</v>
      </c>
      <c r="B86">
        <v>390179.667518979</v>
      </c>
      <c r="C86">
        <v>2062.6293827381601</v>
      </c>
      <c r="D86">
        <v>17732.890088648499</v>
      </c>
      <c r="E86">
        <v>23848.0389301004</v>
      </c>
      <c r="F86">
        <v>2991.9354499384599</v>
      </c>
      <c r="H86">
        <f t="shared" si="6"/>
        <v>5.5912646343194368</v>
      </c>
      <c r="I86">
        <f t="shared" si="7"/>
        <v>3.3144212001052962</v>
      </c>
      <c r="J86">
        <f t="shared" si="8"/>
        <v>4.248779522248701</v>
      </c>
      <c r="K86">
        <f t="shared" si="9"/>
        <v>4.3774526719776938</v>
      </c>
      <c r="L86">
        <f t="shared" si="10"/>
        <v>3.4759522195273367</v>
      </c>
    </row>
    <row r="87" spans="1:12" x14ac:dyDescent="0.35">
      <c r="A87" t="s">
        <v>90</v>
      </c>
      <c r="B87">
        <v>1097724.9587982099</v>
      </c>
      <c r="C87">
        <v>2561.6200118586698</v>
      </c>
      <c r="D87">
        <v>20860.506539511302</v>
      </c>
      <c r="E87">
        <v>32765.392019370702</v>
      </c>
      <c r="F87">
        <v>3492.3621616947398</v>
      </c>
      <c r="H87">
        <f t="shared" si="6"/>
        <v>6.0404935388032532</v>
      </c>
      <c r="I87">
        <f t="shared" si="7"/>
        <v>3.4085147073788802</v>
      </c>
      <c r="J87">
        <f t="shared" si="8"/>
        <v>4.3193248498548318</v>
      </c>
      <c r="K87">
        <f t="shared" si="9"/>
        <v>4.5154153684109124</v>
      </c>
      <c r="L87">
        <f t="shared" si="10"/>
        <v>3.5431192741715614</v>
      </c>
    </row>
    <row r="88" spans="1:12" x14ac:dyDescent="0.35">
      <c r="A88" t="s">
        <v>91</v>
      </c>
      <c r="B88">
        <v>126475.318501592</v>
      </c>
      <c r="C88">
        <v>1357.93555699734</v>
      </c>
      <c r="D88">
        <v>9454.9220402625997</v>
      </c>
      <c r="E88">
        <v>18406.289906421302</v>
      </c>
      <c r="F88">
        <v>1546.8763870607199</v>
      </c>
      <c r="H88">
        <f t="shared" si="6"/>
        <v>5.1020057817616467</v>
      </c>
      <c r="I88">
        <f t="shared" si="7"/>
        <v>3.1328791602946069</v>
      </c>
      <c r="J88">
        <f t="shared" si="8"/>
        <v>3.975657952258441</v>
      </c>
      <c r="K88">
        <f t="shared" si="9"/>
        <v>4.2649662580560461</v>
      </c>
      <c r="L88">
        <f t="shared" si="10"/>
        <v>3.1894556100391473</v>
      </c>
    </row>
    <row r="89" spans="1:12" x14ac:dyDescent="0.35">
      <c r="A89" t="s">
        <v>92</v>
      </c>
      <c r="B89">
        <v>88357.422686546997</v>
      </c>
      <c r="C89">
        <v>3766.89049926588</v>
      </c>
      <c r="D89">
        <v>21615.329230520601</v>
      </c>
      <c r="E89">
        <v>30614.705948310799</v>
      </c>
      <c r="F89">
        <v>3215.5055990518499</v>
      </c>
      <c r="H89">
        <f t="shared" si="6"/>
        <v>4.9462430393707946</v>
      </c>
      <c r="I89">
        <f t="shared" si="7"/>
        <v>3.5759829957658402</v>
      </c>
      <c r="J89">
        <f t="shared" si="8"/>
        <v>4.334761854808808</v>
      </c>
      <c r="K89">
        <f t="shared" si="9"/>
        <v>4.4859300924296219</v>
      </c>
      <c r="L89">
        <f t="shared" si="10"/>
        <v>3.5072492701418327</v>
      </c>
    </row>
    <row r="90" spans="1:12" x14ac:dyDescent="0.35">
      <c r="A90" t="s">
        <v>93</v>
      </c>
      <c r="B90">
        <v>30368.046991519699</v>
      </c>
      <c r="C90">
        <v>2295.6688051531</v>
      </c>
      <c r="D90">
        <v>7314.3872893977295</v>
      </c>
      <c r="E90">
        <v>9928.2880235287594</v>
      </c>
      <c r="F90">
        <v>1093.28187465876</v>
      </c>
      <c r="H90">
        <f t="shared" si="6"/>
        <v>4.4824168627750538</v>
      </c>
      <c r="I90">
        <f t="shared" si="7"/>
        <v>3.3609092328245769</v>
      </c>
      <c r="J90">
        <f t="shared" si="8"/>
        <v>3.8641779520637303</v>
      </c>
      <c r="K90">
        <f t="shared" si="9"/>
        <v>3.9968743677266492</v>
      </c>
      <c r="L90">
        <f t="shared" si="10"/>
        <v>3.0387321480673073</v>
      </c>
    </row>
    <row r="91" spans="1:12" x14ac:dyDescent="0.35">
      <c r="A91" t="s">
        <v>94</v>
      </c>
      <c r="B91">
        <v>52043.437992371997</v>
      </c>
      <c r="C91">
        <v>784.94879037332305</v>
      </c>
      <c r="D91">
        <v>4965.8777469119505</v>
      </c>
      <c r="E91">
        <v>8255.5242703705208</v>
      </c>
      <c r="F91">
        <v>804.62758221192405</v>
      </c>
      <c r="H91">
        <f t="shared" si="6"/>
        <v>4.7163659783545322</v>
      </c>
      <c r="I91">
        <f t="shared" si="7"/>
        <v>2.8948413245366731</v>
      </c>
      <c r="J91">
        <f t="shared" si="8"/>
        <v>3.6959960236166367</v>
      </c>
      <c r="K91">
        <f t="shared" si="9"/>
        <v>3.9167446585193564</v>
      </c>
      <c r="L91">
        <f t="shared" si="10"/>
        <v>2.9055949158777001</v>
      </c>
    </row>
    <row r="92" spans="1:12" x14ac:dyDescent="0.35">
      <c r="A92" t="s">
        <v>95</v>
      </c>
      <c r="B92">
        <v>49649.322910331102</v>
      </c>
      <c r="C92">
        <v>650.83830575947695</v>
      </c>
      <c r="D92">
        <v>4295.7659330763699</v>
      </c>
      <c r="E92">
        <v>7620.6604585531804</v>
      </c>
      <c r="F92">
        <v>698.94396138904301</v>
      </c>
      <c r="H92">
        <f t="shared" si="6"/>
        <v>4.6959133302067873</v>
      </c>
      <c r="I92">
        <f t="shared" si="7"/>
        <v>2.8134731058665308</v>
      </c>
      <c r="J92">
        <f t="shared" si="8"/>
        <v>3.6330406095763386</v>
      </c>
      <c r="K92">
        <f t="shared" si="9"/>
        <v>3.8819926119006682</v>
      </c>
      <c r="L92">
        <f t="shared" si="10"/>
        <v>2.8444423570974418</v>
      </c>
    </row>
    <row r="93" spans="1:12" x14ac:dyDescent="0.35">
      <c r="A93" t="s">
        <v>96</v>
      </c>
      <c r="B93">
        <v>91430.191250550502</v>
      </c>
      <c r="C93">
        <v>1676.96069572377</v>
      </c>
      <c r="D93">
        <v>12399.3825049845</v>
      </c>
      <c r="E93">
        <v>28296.125954098101</v>
      </c>
      <c r="F93">
        <v>2046.0974520811301</v>
      </c>
      <c r="H93">
        <f t="shared" si="6"/>
        <v>4.9610896282112069</v>
      </c>
      <c r="I93">
        <f t="shared" si="7"/>
        <v>3.2245228838163911</v>
      </c>
      <c r="J93">
        <f t="shared" si="8"/>
        <v>4.0934000576335787</v>
      </c>
      <c r="K93">
        <f t="shared" si="9"/>
        <v>4.451726979979159</v>
      </c>
      <c r="L93">
        <f t="shared" si="10"/>
        <v>3.3109263145634267</v>
      </c>
    </row>
    <row r="94" spans="1:12" x14ac:dyDescent="0.35">
      <c r="A94" t="s">
        <v>97</v>
      </c>
      <c r="B94">
        <v>30960.188333656701</v>
      </c>
      <c r="C94">
        <v>1899.4935419942999</v>
      </c>
      <c r="D94">
        <v>7603.5626413089503</v>
      </c>
      <c r="E94">
        <v>10779.0075987828</v>
      </c>
      <c r="F94">
        <v>1130.4879428061499</v>
      </c>
      <c r="H94">
        <f t="shared" si="6"/>
        <v>4.4908035938719362</v>
      </c>
      <c r="I94">
        <f t="shared" si="7"/>
        <v>3.2786378213542782</v>
      </c>
      <c r="J94">
        <f t="shared" si="8"/>
        <v>3.8810171281922483</v>
      </c>
      <c r="K94">
        <f t="shared" si="9"/>
        <v>4.032578778085206</v>
      </c>
      <c r="L94">
        <f t="shared" si="10"/>
        <v>3.0532659347480036</v>
      </c>
    </row>
    <row r="95" spans="1:12" x14ac:dyDescent="0.35">
      <c r="A95" t="s">
        <v>98</v>
      </c>
      <c r="B95">
        <v>288766.118512663</v>
      </c>
      <c r="C95">
        <v>4132.6396467661098</v>
      </c>
      <c r="D95">
        <v>45417.4524362253</v>
      </c>
      <c r="E95">
        <v>45371.334836253001</v>
      </c>
      <c r="F95">
        <v>7992.0490177455504</v>
      </c>
      <c r="H95">
        <f t="shared" si="6"/>
        <v>5.4605462352750314</v>
      </c>
      <c r="I95">
        <f t="shared" si="7"/>
        <v>3.6162275378140221</v>
      </c>
      <c r="J95">
        <f t="shared" si="8"/>
        <v>4.6572227700440187</v>
      </c>
      <c r="K95">
        <f t="shared" si="9"/>
        <v>4.656781556508494</v>
      </c>
      <c r="L95">
        <f t="shared" si="10"/>
        <v>3.9026581388904891</v>
      </c>
    </row>
    <row r="96" spans="1:12" x14ac:dyDescent="0.35">
      <c r="A96" t="s">
        <v>99</v>
      </c>
      <c r="B96">
        <v>175084.820397006</v>
      </c>
      <c r="C96">
        <v>4955.4547905953104</v>
      </c>
      <c r="D96">
        <v>45288.036449437997</v>
      </c>
      <c r="E96">
        <v>132360.14068935701</v>
      </c>
      <c r="F96">
        <v>7133.0277510914202</v>
      </c>
      <c r="H96">
        <f t="shared" si="6"/>
        <v>5.2432484950064264</v>
      </c>
      <c r="I96">
        <f t="shared" si="7"/>
        <v>3.6950835183535311</v>
      </c>
      <c r="J96">
        <f t="shared" si="8"/>
        <v>4.6559834914124725</v>
      </c>
      <c r="K96">
        <f t="shared" si="9"/>
        <v>5.1217572201120145</v>
      </c>
      <c r="L96">
        <f t="shared" si="10"/>
        <v>3.8532739136495104</v>
      </c>
    </row>
    <row r="97" spans="1:12" x14ac:dyDescent="0.35">
      <c r="A97" t="s">
        <v>100</v>
      </c>
      <c r="B97">
        <v>124292.57014732</v>
      </c>
      <c r="C97">
        <v>10493.591215730101</v>
      </c>
      <c r="D97">
        <v>89463.584852268206</v>
      </c>
      <c r="E97">
        <v>40525.824071324503</v>
      </c>
      <c r="F97">
        <v>12229.2895117726</v>
      </c>
      <c r="H97">
        <f t="shared" si="6"/>
        <v>5.0944451685413945</v>
      </c>
      <c r="I97">
        <f t="shared" si="7"/>
        <v>4.0209241419844268</v>
      </c>
      <c r="J97">
        <f t="shared" si="8"/>
        <v>4.9516462965905568</v>
      </c>
      <c r="K97">
        <f t="shared" si="9"/>
        <v>4.607731854760285</v>
      </c>
      <c r="L97">
        <f t="shared" si="10"/>
        <v>4.0874012264492272</v>
      </c>
    </row>
    <row r="98" spans="1:12" x14ac:dyDescent="0.35">
      <c r="A98" t="s">
        <v>101</v>
      </c>
      <c r="B98">
        <v>805432.50361530401</v>
      </c>
      <c r="C98">
        <v>8323.4406116943192</v>
      </c>
      <c r="D98">
        <v>78837.781305355194</v>
      </c>
      <c r="E98">
        <v>82638.955371660195</v>
      </c>
      <c r="F98">
        <v>13504.966470716599</v>
      </c>
      <c r="H98">
        <f t="shared" si="6"/>
        <v>5.9060291517873464</v>
      </c>
      <c r="I98">
        <f t="shared" si="7"/>
        <v>3.9203028851607149</v>
      </c>
      <c r="J98">
        <f t="shared" si="8"/>
        <v>4.8967343936337917</v>
      </c>
      <c r="K98">
        <f t="shared" si="9"/>
        <v>4.9171848186859224</v>
      </c>
      <c r="L98">
        <f t="shared" si="10"/>
        <v>4.1304935102857181</v>
      </c>
    </row>
    <row r="99" spans="1:12" x14ac:dyDescent="0.35">
      <c r="A99" t="s">
        <v>102</v>
      </c>
      <c r="B99">
        <v>108887.833685384</v>
      </c>
      <c r="C99">
        <v>1552.89873000331</v>
      </c>
      <c r="D99">
        <v>9996.8427680770601</v>
      </c>
      <c r="E99">
        <v>17054.329341957899</v>
      </c>
      <c r="F99">
        <v>1622.52847949138</v>
      </c>
      <c r="H99">
        <f t="shared" si="6"/>
        <v>5.0369793576393747</v>
      </c>
      <c r="I99">
        <f t="shared" si="7"/>
        <v>3.1911431347789181</v>
      </c>
      <c r="J99">
        <f t="shared" si="8"/>
        <v>3.9998628615097376</v>
      </c>
      <c r="K99">
        <f t="shared" si="9"/>
        <v>4.2318346455368028</v>
      </c>
      <c r="L99">
        <f t="shared" si="10"/>
        <v>3.2101923285093275</v>
      </c>
    </row>
    <row r="100" spans="1:12" x14ac:dyDescent="0.35">
      <c r="A100" t="s">
        <v>103</v>
      </c>
      <c r="B100">
        <v>249258.33310907299</v>
      </c>
      <c r="C100">
        <v>5284.3442858486196</v>
      </c>
      <c r="D100">
        <v>48257.297083593403</v>
      </c>
      <c r="E100">
        <v>315538.23180127901</v>
      </c>
      <c r="F100">
        <v>8244.0995755425101</v>
      </c>
      <c r="H100">
        <f t="shared" si="6"/>
        <v>5.3966496863930891</v>
      </c>
      <c r="I100">
        <f t="shared" si="7"/>
        <v>3.7229911050388811</v>
      </c>
      <c r="J100">
        <f t="shared" si="8"/>
        <v>4.6835629931932781</v>
      </c>
      <c r="K100">
        <f t="shared" si="9"/>
        <v>5.4990519875243526</v>
      </c>
      <c r="L100">
        <f t="shared" si="10"/>
        <v>3.9161432287218618</v>
      </c>
    </row>
    <row r="101" spans="1:12" x14ac:dyDescent="0.35">
      <c r="A101" t="s">
        <v>104</v>
      </c>
      <c r="B101">
        <v>204020.01321290599</v>
      </c>
      <c r="C101">
        <v>7812.1770007231198</v>
      </c>
      <c r="D101">
        <v>90971.6693377263</v>
      </c>
      <c r="E101">
        <v>57483.745096530401</v>
      </c>
      <c r="F101">
        <v>14119.0916400722</v>
      </c>
      <c r="H101">
        <f t="shared" si="6"/>
        <v>5.3096727713553911</v>
      </c>
      <c r="I101">
        <f t="shared" si="7"/>
        <v>3.8927720745500856</v>
      </c>
      <c r="J101">
        <f t="shared" si="8"/>
        <v>4.9589061641238876</v>
      </c>
      <c r="K101">
        <f t="shared" si="9"/>
        <v>4.7595450549001379</v>
      </c>
      <c r="L101">
        <f t="shared" si="10"/>
        <v>4.1498067570278243</v>
      </c>
    </row>
    <row r="102" spans="1:12" x14ac:dyDescent="0.35">
      <c r="A102" t="s">
        <v>105</v>
      </c>
      <c r="B102">
        <v>473910.42453035002</v>
      </c>
      <c r="C102">
        <v>3467.0257769477498</v>
      </c>
      <c r="D102">
        <v>31215.4036122176</v>
      </c>
      <c r="E102">
        <v>34279.518258794102</v>
      </c>
      <c r="F102">
        <v>5303.8232549301902</v>
      </c>
      <c r="H102">
        <f t="shared" si="6"/>
        <v>5.6756962619093905</v>
      </c>
      <c r="I102">
        <f t="shared" si="7"/>
        <v>3.5399570705991574</v>
      </c>
      <c r="J102">
        <f t="shared" si="8"/>
        <v>4.4943689546902048</v>
      </c>
      <c r="K102">
        <f t="shared" si="9"/>
        <v>4.53503471001261</v>
      </c>
      <c r="L102">
        <f t="shared" si="10"/>
        <v>3.724589043170571</v>
      </c>
    </row>
    <row r="103" spans="1:12" x14ac:dyDescent="0.35">
      <c r="A103" t="s">
        <v>106</v>
      </c>
      <c r="B103">
        <v>70067.759631624198</v>
      </c>
      <c r="C103">
        <v>970.90440726352006</v>
      </c>
      <c r="D103">
        <v>6304.84990499181</v>
      </c>
      <c r="E103">
        <v>10900.297180777899</v>
      </c>
      <c r="F103">
        <v>1024.1755083473499</v>
      </c>
      <c r="H103">
        <f t="shared" si="6"/>
        <v>4.8455182314485059</v>
      </c>
      <c r="I103">
        <f t="shared" si="7"/>
        <v>2.9871764725015728</v>
      </c>
      <c r="J103">
        <f t="shared" si="8"/>
        <v>3.7996747520970904</v>
      </c>
      <c r="K103">
        <f t="shared" si="9"/>
        <v>4.0374383385105856</v>
      </c>
      <c r="L103">
        <f t="shared" si="10"/>
        <v>3.0103743861080465</v>
      </c>
    </row>
    <row r="104" spans="1:12" x14ac:dyDescent="0.35">
      <c r="A104" t="s">
        <v>107</v>
      </c>
      <c r="B104">
        <v>317023.10409521201</v>
      </c>
      <c r="C104">
        <v>1926.70257263127</v>
      </c>
      <c r="D104">
        <v>16828.332676780101</v>
      </c>
      <c r="E104">
        <v>19226.490186782001</v>
      </c>
      <c r="F104">
        <v>2846.0287719232201</v>
      </c>
      <c r="H104">
        <f t="shared" si="6"/>
        <v>5.5010909140014155</v>
      </c>
      <c r="I104">
        <f t="shared" si="7"/>
        <v>3.2848146772736997</v>
      </c>
      <c r="J104">
        <f t="shared" si="8"/>
        <v>4.2260410889321793</v>
      </c>
      <c r="K104">
        <f t="shared" si="9"/>
        <v>4.2839000106225091</v>
      </c>
      <c r="L104">
        <f t="shared" si="10"/>
        <v>3.4542392862698139</v>
      </c>
    </row>
    <row r="105" spans="1:12" x14ac:dyDescent="0.35">
      <c r="A105" t="s">
        <v>108</v>
      </c>
      <c r="B105">
        <v>1045072.61097913</v>
      </c>
      <c r="C105">
        <v>4787.58417744914</v>
      </c>
      <c r="D105">
        <v>40256.1176009544</v>
      </c>
      <c r="E105">
        <v>59172.299064093699</v>
      </c>
      <c r="F105">
        <v>6770.1115582577104</v>
      </c>
      <c r="H105">
        <f t="shared" si="6"/>
        <v>6.0191464659992606</v>
      </c>
      <c r="I105">
        <f t="shared" si="7"/>
        <v>3.6801164230038901</v>
      </c>
      <c r="J105">
        <f t="shared" si="8"/>
        <v>4.6048318881436572</v>
      </c>
      <c r="K105">
        <f t="shared" si="9"/>
        <v>4.7721184435621566</v>
      </c>
      <c r="L105">
        <f t="shared" si="10"/>
        <v>3.8305958250716374</v>
      </c>
    </row>
    <row r="106" spans="1:12" x14ac:dyDescent="0.35">
      <c r="A106" t="s">
        <v>109</v>
      </c>
      <c r="B106">
        <v>851064.37265078002</v>
      </c>
      <c r="C106">
        <v>1272.91478955251</v>
      </c>
      <c r="D106">
        <v>9345.5522389069993</v>
      </c>
      <c r="E106">
        <v>20257.3136811316</v>
      </c>
      <c r="F106">
        <v>1537.88436800818</v>
      </c>
      <c r="H106">
        <f t="shared" si="6"/>
        <v>5.9299624104132613</v>
      </c>
      <c r="I106">
        <f t="shared" si="7"/>
        <v>3.1047993324315462</v>
      </c>
      <c r="J106">
        <f t="shared" si="8"/>
        <v>3.9706049694092145</v>
      </c>
      <c r="K106">
        <f t="shared" si="9"/>
        <v>4.3065818531263043</v>
      </c>
      <c r="L106">
        <f t="shared" si="10"/>
        <v>3.1869236825240175</v>
      </c>
    </row>
    <row r="107" spans="1:12" x14ac:dyDescent="0.35">
      <c r="A107" t="s">
        <v>110</v>
      </c>
      <c r="B107">
        <v>134219.93732067899</v>
      </c>
      <c r="C107">
        <v>2259.0011692190801</v>
      </c>
      <c r="D107">
        <v>17949.3433929518</v>
      </c>
      <c r="E107">
        <v>50050.786110051602</v>
      </c>
      <c r="F107">
        <v>2988.5890478668798</v>
      </c>
      <c r="H107">
        <f t="shared" si="6"/>
        <v>5.1278170316692941</v>
      </c>
      <c r="I107">
        <f t="shared" si="7"/>
        <v>3.3539164557035694</v>
      </c>
      <c r="J107">
        <f t="shared" si="8"/>
        <v>4.2540485662272349</v>
      </c>
      <c r="K107">
        <f t="shared" si="9"/>
        <v>4.6994109030056768</v>
      </c>
      <c r="L107">
        <f t="shared" si="10"/>
        <v>3.4754662005816317</v>
      </c>
    </row>
    <row r="108" spans="1:12" x14ac:dyDescent="0.35">
      <c r="A108" t="s">
        <v>111</v>
      </c>
      <c r="B108">
        <v>61068.421419108599</v>
      </c>
      <c r="C108">
        <v>653.18908789416002</v>
      </c>
      <c r="D108">
        <v>4552.2641304619301</v>
      </c>
      <c r="E108">
        <v>8877.7614013329603</v>
      </c>
      <c r="F108">
        <v>744.84976926091804</v>
      </c>
      <c r="H108">
        <f t="shared" si="6"/>
        <v>4.7858166938974369</v>
      </c>
      <c r="I108">
        <f t="shared" si="7"/>
        <v>2.8150389208488664</v>
      </c>
      <c r="J108">
        <f t="shared" si="8"/>
        <v>3.6582274526563916</v>
      </c>
      <c r="K108">
        <f t="shared" si="9"/>
        <v>3.948303468750066</v>
      </c>
      <c r="L108">
        <f t="shared" si="10"/>
        <v>2.8720686875668031</v>
      </c>
    </row>
    <row r="109" spans="1:12" x14ac:dyDescent="0.35">
      <c r="A109" t="s">
        <v>112</v>
      </c>
      <c r="B109">
        <v>581711.82742108998</v>
      </c>
      <c r="C109">
        <v>2980.4075379330102</v>
      </c>
      <c r="D109">
        <v>25237.166979546</v>
      </c>
      <c r="E109">
        <v>30588.640019422899</v>
      </c>
      <c r="F109">
        <v>4248.60327101657</v>
      </c>
      <c r="H109">
        <f t="shared" si="6"/>
        <v>5.764707894005511</v>
      </c>
      <c r="I109">
        <f t="shared" si="7"/>
        <v>3.4742756531279677</v>
      </c>
      <c r="J109">
        <f t="shared" si="8"/>
        <v>4.4020406011978661</v>
      </c>
      <c r="K109">
        <f t="shared" si="9"/>
        <v>4.485560168544346</v>
      </c>
      <c r="L109">
        <f t="shared" si="10"/>
        <v>3.6282461791355236</v>
      </c>
    </row>
    <row r="110" spans="1:12" x14ac:dyDescent="0.35">
      <c r="A110" t="s">
        <v>113</v>
      </c>
      <c r="B110">
        <v>9166.3061766057799</v>
      </c>
      <c r="C110">
        <v>123.91119407545</v>
      </c>
      <c r="D110">
        <v>810.57691647922502</v>
      </c>
      <c r="E110">
        <v>1417.5591621241499</v>
      </c>
      <c r="F110">
        <v>131.76761501775599</v>
      </c>
      <c r="H110">
        <f t="shared" si="6"/>
        <v>3.9621943596281199</v>
      </c>
      <c r="I110">
        <f t="shared" si="7"/>
        <v>2.0931105420951712</v>
      </c>
      <c r="J110">
        <f t="shared" si="8"/>
        <v>2.9087942317910183</v>
      </c>
      <c r="K110">
        <f t="shared" si="9"/>
        <v>3.1515411933130082</v>
      </c>
      <c r="L110">
        <f t="shared" si="10"/>
        <v>2.119808685316424</v>
      </c>
    </row>
    <row r="111" spans="1:12" x14ac:dyDescent="0.35">
      <c r="A111" t="s">
        <v>114</v>
      </c>
      <c r="B111">
        <v>307875.57563617401</v>
      </c>
      <c r="C111">
        <v>4046.5048295615602</v>
      </c>
      <c r="D111">
        <v>36897.447763387398</v>
      </c>
      <c r="E111">
        <v>170734.889833033</v>
      </c>
      <c r="F111">
        <v>6242.0437968830602</v>
      </c>
      <c r="H111">
        <f t="shared" si="6"/>
        <v>5.4883752368500192</v>
      </c>
      <c r="I111">
        <f t="shared" si="7"/>
        <v>3.6070800630655744</v>
      </c>
      <c r="J111">
        <f t="shared" si="8"/>
        <v>4.5669963265760831</v>
      </c>
      <c r="K111">
        <f t="shared" si="9"/>
        <v>5.2323222786639159</v>
      </c>
      <c r="L111">
        <f t="shared" si="10"/>
        <v>3.7953268115382066</v>
      </c>
    </row>
    <row r="112" spans="1:12" x14ac:dyDescent="0.35">
      <c r="A112" t="s">
        <v>115</v>
      </c>
      <c r="B112">
        <v>84459.836819514094</v>
      </c>
      <c r="C112">
        <v>842.99806521471498</v>
      </c>
      <c r="D112">
        <v>6841.7854564335703</v>
      </c>
      <c r="E112">
        <v>7501.8105899963903</v>
      </c>
      <c r="F112">
        <v>1144.88066292079</v>
      </c>
      <c r="H112">
        <f t="shared" si="6"/>
        <v>4.9266502380117752</v>
      </c>
      <c r="I112">
        <f t="shared" si="7"/>
        <v>2.9258265778660979</v>
      </c>
      <c r="J112">
        <f t="shared" si="8"/>
        <v>3.8351694515286847</v>
      </c>
      <c r="K112">
        <f t="shared" si="9"/>
        <v>3.8751660946377049</v>
      </c>
      <c r="L112">
        <f t="shared" si="10"/>
        <v>3.0587602201815662</v>
      </c>
    </row>
    <row r="113" spans="1:12" x14ac:dyDescent="0.35">
      <c r="A113" t="s">
        <v>116</v>
      </c>
      <c r="B113">
        <v>258511.758387963</v>
      </c>
      <c r="C113">
        <v>1463.1494891411701</v>
      </c>
      <c r="D113">
        <v>12352.7524520397</v>
      </c>
      <c r="E113">
        <v>16768.039013277499</v>
      </c>
      <c r="F113">
        <v>2078.6533606929902</v>
      </c>
      <c r="H113">
        <f t="shared" si="6"/>
        <v>5.4124803017311987</v>
      </c>
      <c r="I113">
        <f t="shared" si="7"/>
        <v>3.1652887000094285</v>
      </c>
      <c r="J113">
        <f t="shared" si="8"/>
        <v>4.0917637382876189</v>
      </c>
      <c r="K113">
        <f t="shared" si="9"/>
        <v>4.2244822757539806</v>
      </c>
      <c r="L113">
        <f t="shared" si="10"/>
        <v>3.3177820717797717</v>
      </c>
    </row>
    <row r="114" spans="1:12" x14ac:dyDescent="0.35">
      <c r="A114" t="s">
        <v>117</v>
      </c>
      <c r="B114">
        <v>111853.547995206</v>
      </c>
      <c r="C114">
        <v>2039.5647893422799</v>
      </c>
      <c r="D114">
        <v>15155.1241959378</v>
      </c>
      <c r="E114">
        <v>35006.680978591103</v>
      </c>
      <c r="F114">
        <v>2502.3200879280198</v>
      </c>
      <c r="H114">
        <f t="shared" si="6"/>
        <v>5.0486497644746802</v>
      </c>
      <c r="I114">
        <f t="shared" si="7"/>
        <v>3.3095375057830076</v>
      </c>
      <c r="J114">
        <f t="shared" si="8"/>
        <v>4.1805594997527633</v>
      </c>
      <c r="K114">
        <f t="shared" si="9"/>
        <v>4.5441509367858002</v>
      </c>
      <c r="L114">
        <f t="shared" si="10"/>
        <v>3.3983428623236263</v>
      </c>
    </row>
    <row r="115" spans="1:12" x14ac:dyDescent="0.35">
      <c r="A115" t="s">
        <v>118</v>
      </c>
      <c r="B115">
        <v>229210.909115193</v>
      </c>
      <c r="C115">
        <v>1160.0960403219999</v>
      </c>
      <c r="D115">
        <v>9755.2801736527199</v>
      </c>
      <c r="E115">
        <v>12027.5069416391</v>
      </c>
      <c r="F115">
        <v>1640.6202203896</v>
      </c>
      <c r="H115">
        <f t="shared" si="6"/>
        <v>5.3602352836958049</v>
      </c>
      <c r="I115">
        <f t="shared" si="7"/>
        <v>3.0644939444470332</v>
      </c>
      <c r="J115">
        <f t="shared" si="8"/>
        <v>3.9892397469364855</v>
      </c>
      <c r="K115">
        <f t="shared" si="9"/>
        <v>4.0801756162264153</v>
      </c>
      <c r="L115">
        <f t="shared" si="10"/>
        <v>3.2150080598600268</v>
      </c>
    </row>
    <row r="116" spans="1:12" x14ac:dyDescent="0.35">
      <c r="A116" t="s">
        <v>119</v>
      </c>
      <c r="B116">
        <v>9407.91711411697</v>
      </c>
      <c r="C116">
        <v>141.032535701765</v>
      </c>
      <c r="D116">
        <v>893.94883762392203</v>
      </c>
      <c r="E116">
        <v>1490.3276856283201</v>
      </c>
      <c r="F116">
        <v>144.87447029743601</v>
      </c>
      <c r="H116">
        <f t="shared" si="6"/>
        <v>3.9734934825160559</v>
      </c>
      <c r="I116">
        <f t="shared" si="7"/>
        <v>2.1493193143981961</v>
      </c>
      <c r="J116">
        <f t="shared" si="8"/>
        <v>2.9513126640157918</v>
      </c>
      <c r="K116">
        <f t="shared" si="9"/>
        <v>3.173281769361004</v>
      </c>
      <c r="L116">
        <f t="shared" si="10"/>
        <v>2.160991861069522</v>
      </c>
    </row>
    <row r="117" spans="1:12" x14ac:dyDescent="0.35">
      <c r="A117" t="s">
        <v>120</v>
      </c>
      <c r="B117">
        <v>216325.030131429</v>
      </c>
      <c r="C117">
        <v>2874.2837158560301</v>
      </c>
      <c r="D117">
        <v>18897.427230925699</v>
      </c>
      <c r="E117">
        <v>33314.2290659426</v>
      </c>
      <c r="F117">
        <v>3073.51254089244</v>
      </c>
      <c r="H117">
        <f t="shared" si="6"/>
        <v>5.3351067728789801</v>
      </c>
      <c r="I117">
        <f t="shared" si="7"/>
        <v>3.4585296344138179</v>
      </c>
      <c r="J117">
        <f t="shared" si="8"/>
        <v>4.2764026816616996</v>
      </c>
      <c r="K117">
        <f t="shared" si="9"/>
        <v>4.5226297675882163</v>
      </c>
      <c r="L117">
        <f t="shared" si="10"/>
        <v>3.487634989517808</v>
      </c>
    </row>
    <row r="118" spans="1:12" x14ac:dyDescent="0.35">
      <c r="A118" t="s">
        <v>121</v>
      </c>
      <c r="B118">
        <v>294446.16025312501</v>
      </c>
      <c r="C118">
        <v>16295.648409416201</v>
      </c>
      <c r="D118">
        <v>677685.55625334603</v>
      </c>
      <c r="E118">
        <v>113973.483499561</v>
      </c>
      <c r="F118">
        <v>66080.252589099895</v>
      </c>
      <c r="H118">
        <f t="shared" si="6"/>
        <v>5.4690058952433835</v>
      </c>
      <c r="I118">
        <f t="shared" si="7"/>
        <v>4.2120716458707488</v>
      </c>
      <c r="J118">
        <f t="shared" si="8"/>
        <v>5.831028229470161</v>
      </c>
      <c r="K118">
        <f t="shared" si="9"/>
        <v>5.056803822307173</v>
      </c>
      <c r="L118">
        <f t="shared" si="10"/>
        <v>4.8200716943886368</v>
      </c>
    </row>
    <row r="119" spans="1:12" x14ac:dyDescent="0.35">
      <c r="A119" t="s">
        <v>122</v>
      </c>
      <c r="B119">
        <v>44611.968608437099</v>
      </c>
      <c r="C119">
        <v>14748.510488301999</v>
      </c>
      <c r="D119">
        <v>18154.439981633401</v>
      </c>
      <c r="E119">
        <v>13877.6543296451</v>
      </c>
      <c r="F119">
        <v>2635.0630222620298</v>
      </c>
      <c r="H119">
        <f t="shared" si="6"/>
        <v>4.649451387933782</v>
      </c>
      <c r="I119">
        <f t="shared" si="7"/>
        <v>4.1687481613734407</v>
      </c>
      <c r="J119">
        <f t="shared" si="8"/>
        <v>4.2589828565737475</v>
      </c>
      <c r="K119">
        <f t="shared" si="9"/>
        <v>4.1423160657023725</v>
      </c>
      <c r="L119">
        <f t="shared" si="10"/>
        <v>3.4207910066048575</v>
      </c>
    </row>
    <row r="120" spans="1:12" x14ac:dyDescent="0.35">
      <c r="A120" t="s">
        <v>123</v>
      </c>
      <c r="B120">
        <v>831433.32081846602</v>
      </c>
      <c r="C120">
        <v>14303.1132809828</v>
      </c>
      <c r="D120">
        <v>111595.86651470199</v>
      </c>
      <c r="E120">
        <v>294200.91706696601</v>
      </c>
      <c r="F120">
        <v>18537.465236137501</v>
      </c>
      <c r="H120">
        <f t="shared" si="6"/>
        <v>5.9198274254596051</v>
      </c>
      <c r="I120">
        <f t="shared" si="7"/>
        <v>4.1554305782756025</v>
      </c>
      <c r="J120">
        <f t="shared" si="8"/>
        <v>5.0476481087314751</v>
      </c>
      <c r="K120">
        <f t="shared" si="9"/>
        <v>5.4686440221525654</v>
      </c>
      <c r="L120">
        <f t="shared" si="10"/>
        <v>4.2680503495917828</v>
      </c>
    </row>
    <row r="121" spans="1:12" x14ac:dyDescent="0.35">
      <c r="A121" t="s">
        <v>124</v>
      </c>
      <c r="B121">
        <v>22291.949363204902</v>
      </c>
      <c r="C121">
        <v>1019.97073358949</v>
      </c>
      <c r="D121">
        <v>5524.3733776172703</v>
      </c>
      <c r="E121">
        <v>7861.1292523634602</v>
      </c>
      <c r="F121">
        <v>820.21968920728705</v>
      </c>
      <c r="H121">
        <f t="shared" si="6"/>
        <v>4.3481480478730523</v>
      </c>
      <c r="I121">
        <f t="shared" si="7"/>
        <v>3.008587710562959</v>
      </c>
      <c r="J121">
        <f t="shared" si="8"/>
        <v>3.7422830237007436</v>
      </c>
      <c r="K121">
        <f t="shared" si="9"/>
        <v>3.8954849369864064</v>
      </c>
      <c r="L121">
        <f t="shared" si="10"/>
        <v>2.9139301902275516</v>
      </c>
    </row>
    <row r="122" spans="1:12" x14ac:dyDescent="0.35">
      <c r="A122" t="s">
        <v>125</v>
      </c>
      <c r="B122">
        <v>88374.095719016404</v>
      </c>
      <c r="C122">
        <v>1591.7877376895201</v>
      </c>
      <c r="D122">
        <v>11950.5988476659</v>
      </c>
      <c r="E122">
        <v>28332.250974779199</v>
      </c>
      <c r="F122">
        <v>1975.67260992966</v>
      </c>
      <c r="H122">
        <f t="shared" si="6"/>
        <v>4.9463249829435636</v>
      </c>
      <c r="I122">
        <f t="shared" si="7"/>
        <v>3.201885154798509</v>
      </c>
      <c r="J122">
        <f t="shared" si="8"/>
        <v>4.077389668440679</v>
      </c>
      <c r="K122">
        <f t="shared" si="9"/>
        <v>4.452281080241943</v>
      </c>
      <c r="L122">
        <f t="shared" si="10"/>
        <v>3.2957149789757958</v>
      </c>
    </row>
    <row r="123" spans="1:12" x14ac:dyDescent="0.35">
      <c r="A123" t="s">
        <v>126</v>
      </c>
      <c r="B123">
        <v>157417.43630925799</v>
      </c>
      <c r="C123">
        <v>2269.5924678146298</v>
      </c>
      <c r="D123">
        <v>14561.904900650999</v>
      </c>
      <c r="E123">
        <v>24717.344621955599</v>
      </c>
      <c r="F123">
        <v>2362.6892230826402</v>
      </c>
      <c r="H123">
        <f t="shared" si="6"/>
        <v>5.1970528352244258</v>
      </c>
      <c r="I123">
        <f t="shared" si="7"/>
        <v>3.3559478814800894</v>
      </c>
      <c r="J123">
        <f t="shared" si="8"/>
        <v>4.163218190480352</v>
      </c>
      <c r="K123">
        <f t="shared" si="9"/>
        <v>4.3930018127770252</v>
      </c>
      <c r="L123">
        <f t="shared" si="10"/>
        <v>3.3734066003558163</v>
      </c>
    </row>
    <row r="124" spans="1:12" x14ac:dyDescent="0.35">
      <c r="A124" t="s">
        <v>127</v>
      </c>
      <c r="B124">
        <v>43432.5738417721</v>
      </c>
      <c r="C124">
        <v>543.84777123235301</v>
      </c>
      <c r="D124">
        <v>5508.9641659260096</v>
      </c>
      <c r="E124">
        <v>5653.8494742592302</v>
      </c>
      <c r="F124">
        <v>954.66273155867998</v>
      </c>
      <c r="H124">
        <f t="shared" si="6"/>
        <v>4.6378155666902821</v>
      </c>
      <c r="I124">
        <f t="shared" si="7"/>
        <v>2.7354773530701388</v>
      </c>
      <c r="J124">
        <f t="shared" si="8"/>
        <v>3.7410699474339109</v>
      </c>
      <c r="K124">
        <f t="shared" si="9"/>
        <v>3.7523442418314601</v>
      </c>
      <c r="L124">
        <f t="shared" si="10"/>
        <v>2.9798499687633555</v>
      </c>
    </row>
    <row r="125" spans="1:12" x14ac:dyDescent="0.35">
      <c r="A125" t="s">
        <v>128</v>
      </c>
      <c r="B125">
        <v>236224.51537712099</v>
      </c>
      <c r="C125">
        <v>903.96315386050298</v>
      </c>
      <c r="D125">
        <v>6408.6154026330996</v>
      </c>
      <c r="E125">
        <v>12915.8486157343</v>
      </c>
      <c r="F125">
        <v>1050.5169101245699</v>
      </c>
      <c r="H125">
        <f t="shared" si="6"/>
        <v>5.3733249666920564</v>
      </c>
      <c r="I125">
        <f t="shared" si="7"/>
        <v>2.9561507287041398</v>
      </c>
      <c r="J125">
        <f t="shared" si="8"/>
        <v>3.8067642092457921</v>
      </c>
      <c r="K125">
        <f t="shared" si="9"/>
        <v>4.1111229460898953</v>
      </c>
      <c r="L125">
        <f t="shared" si="10"/>
        <v>3.0214030476174409</v>
      </c>
    </row>
    <row r="126" spans="1:12" x14ac:dyDescent="0.35">
      <c r="A126" t="s">
        <v>129</v>
      </c>
      <c r="B126">
        <v>219631.950932965</v>
      </c>
      <c r="C126">
        <v>3453.31416441595</v>
      </c>
      <c r="D126">
        <v>30126.291699891899</v>
      </c>
      <c r="E126">
        <v>122273.50005212</v>
      </c>
      <c r="F126">
        <v>5080.5616088475899</v>
      </c>
      <c r="H126">
        <f t="shared" si="6"/>
        <v>5.3416955193141034</v>
      </c>
      <c r="I126">
        <f t="shared" si="7"/>
        <v>3.5382360899815937</v>
      </c>
      <c r="J126">
        <f t="shared" si="8"/>
        <v>4.478945676864547</v>
      </c>
      <c r="K126">
        <f t="shared" si="9"/>
        <v>5.087332343968618</v>
      </c>
      <c r="L126">
        <f t="shared" si="10"/>
        <v>3.7059117221544629</v>
      </c>
    </row>
    <row r="127" spans="1:12" x14ac:dyDescent="0.35">
      <c r="A127" t="s">
        <v>130</v>
      </c>
      <c r="B127">
        <v>29247.700080605198</v>
      </c>
      <c r="C127">
        <v>499.92533521773697</v>
      </c>
      <c r="D127">
        <v>3921.47024985793</v>
      </c>
      <c r="E127">
        <v>10505.5880086136</v>
      </c>
      <c r="F127">
        <v>651.84966403546503</v>
      </c>
      <c r="H127">
        <f t="shared" si="6"/>
        <v>4.4660917206208186</v>
      </c>
      <c r="I127">
        <f t="shared" si="7"/>
        <v>2.6989051464874425</v>
      </c>
      <c r="J127">
        <f t="shared" si="8"/>
        <v>3.5934489245937069</v>
      </c>
      <c r="K127">
        <f t="shared" si="9"/>
        <v>4.0214203653330642</v>
      </c>
      <c r="L127">
        <f t="shared" si="10"/>
        <v>2.8141474460261384</v>
      </c>
    </row>
    <row r="128" spans="1:12" x14ac:dyDescent="0.35">
      <c r="A128" t="s">
        <v>131</v>
      </c>
      <c r="B128">
        <v>118529.081667062</v>
      </c>
      <c r="C128">
        <v>3512.0040686453499</v>
      </c>
      <c r="D128">
        <v>49647.054626969999</v>
      </c>
      <c r="E128">
        <v>37136.999940567301</v>
      </c>
      <c r="F128">
        <v>8894.1657311176496</v>
      </c>
      <c r="H128">
        <f t="shared" si="6"/>
        <v>5.0738249196118357</v>
      </c>
      <c r="I128">
        <f t="shared" si="7"/>
        <v>3.5455550103631084</v>
      </c>
      <c r="J128">
        <f t="shared" si="8"/>
        <v>4.695893488537398</v>
      </c>
      <c r="K128">
        <f t="shared" si="9"/>
        <v>4.5698068169621244</v>
      </c>
      <c r="L128">
        <f t="shared" si="10"/>
        <v>3.9491052176965993</v>
      </c>
    </row>
    <row r="129" spans="1:12" x14ac:dyDescent="0.35">
      <c r="A129" t="s">
        <v>132</v>
      </c>
      <c r="B129">
        <v>101078.314615943</v>
      </c>
      <c r="C129">
        <v>376.63664609373302</v>
      </c>
      <c r="D129">
        <v>2670.10337925979</v>
      </c>
      <c r="E129">
        <v>5381.1001910509503</v>
      </c>
      <c r="F129">
        <v>437.68942084275398</v>
      </c>
      <c r="H129">
        <f t="shared" si="6"/>
        <v>5.0046579918638434</v>
      </c>
      <c r="I129">
        <f t="shared" si="7"/>
        <v>2.5759225738378575</v>
      </c>
      <c r="J129">
        <f t="shared" si="8"/>
        <v>3.4265280764106096</v>
      </c>
      <c r="K129">
        <f t="shared" si="9"/>
        <v>3.7308710782786965</v>
      </c>
      <c r="L129">
        <f t="shared" si="10"/>
        <v>2.641166049639982</v>
      </c>
    </row>
    <row r="130" spans="1:12" x14ac:dyDescent="0.35">
      <c r="A130" t="s">
        <v>133</v>
      </c>
      <c r="B130">
        <v>19107.912317677601</v>
      </c>
      <c r="C130">
        <v>623.64874854065704</v>
      </c>
      <c r="D130">
        <v>7176.1810809111503</v>
      </c>
      <c r="E130">
        <v>5339.9753666122497</v>
      </c>
      <c r="F130">
        <v>1221.05658322915</v>
      </c>
      <c r="H130">
        <f t="shared" si="6"/>
        <v>4.2812132397268625</v>
      </c>
      <c r="I130">
        <f t="shared" si="7"/>
        <v>2.7949400551934311</v>
      </c>
      <c r="J130">
        <f t="shared" si="8"/>
        <v>3.8558933889892502</v>
      </c>
      <c r="K130">
        <f t="shared" si="9"/>
        <v>3.7275392536261132</v>
      </c>
      <c r="L130">
        <f t="shared" si="10"/>
        <v>3.0867357894279372</v>
      </c>
    </row>
    <row r="131" spans="1:12" x14ac:dyDescent="0.35">
      <c r="A131" t="s">
        <v>134</v>
      </c>
      <c r="B131">
        <v>146721.36229225999</v>
      </c>
      <c r="C131">
        <v>2041.07150026257</v>
      </c>
      <c r="D131">
        <v>13238.698997850999</v>
      </c>
      <c r="E131">
        <v>22846.403310728099</v>
      </c>
      <c r="F131">
        <v>2150.2782196530002</v>
      </c>
      <c r="H131">
        <f t="shared" ref="H131:H194" si="11">LOG(B131)</f>
        <v>5.1664933507227877</v>
      </c>
      <c r="I131">
        <f t="shared" si="7"/>
        <v>3.3098582186433569</v>
      </c>
      <c r="J131">
        <f t="shared" si="8"/>
        <v>4.1218453079272264</v>
      </c>
      <c r="K131">
        <f t="shared" si="9"/>
        <v>4.3588178391869912</v>
      </c>
      <c r="L131">
        <f t="shared" si="10"/>
        <v>3.3324946559355149</v>
      </c>
    </row>
    <row r="132" spans="1:12" x14ac:dyDescent="0.35">
      <c r="A132" t="s">
        <v>135</v>
      </c>
      <c r="B132">
        <v>59218.684065726098</v>
      </c>
      <c r="C132">
        <v>1098.29045189314</v>
      </c>
      <c r="D132">
        <v>8044.9493148834399</v>
      </c>
      <c r="E132">
        <v>17951.432302202302</v>
      </c>
      <c r="F132">
        <v>1326.0669478765999</v>
      </c>
      <c r="H132">
        <f t="shared" si="11"/>
        <v>4.7724587524395767</v>
      </c>
      <c r="I132">
        <f t="shared" si="7"/>
        <v>3.0407172080315434</v>
      </c>
      <c r="J132">
        <f t="shared" si="8"/>
        <v>3.9055233122839264</v>
      </c>
      <c r="K132">
        <f t="shared" si="9"/>
        <v>4.2540991056233421</v>
      </c>
      <c r="L132">
        <f t="shared" si="10"/>
        <v>3.1225654504333296</v>
      </c>
    </row>
    <row r="133" spans="1:12" x14ac:dyDescent="0.35">
      <c r="A133" t="s">
        <v>136</v>
      </c>
      <c r="B133">
        <v>566211.47021220694</v>
      </c>
      <c r="C133">
        <v>2975.3680172806498</v>
      </c>
      <c r="D133">
        <v>25585.575293691301</v>
      </c>
      <c r="E133">
        <v>29885.930488745798</v>
      </c>
      <c r="F133">
        <v>4317.00066640559</v>
      </c>
      <c r="H133">
        <f t="shared" si="11"/>
        <v>5.7529786629792978</v>
      </c>
      <c r="I133">
        <f t="shared" si="7"/>
        <v>3.47354069039715</v>
      </c>
      <c r="J133">
        <f t="shared" si="8"/>
        <v>4.4079951865638201</v>
      </c>
      <c r="K133">
        <f t="shared" si="9"/>
        <v>4.4754667819979375</v>
      </c>
      <c r="L133">
        <f t="shared" si="10"/>
        <v>3.6351821156973259</v>
      </c>
    </row>
    <row r="134" spans="1:12" x14ac:dyDescent="0.35">
      <c r="A134" t="s">
        <v>137</v>
      </c>
      <c r="B134">
        <v>78885.764654347106</v>
      </c>
      <c r="C134">
        <v>778.43497794355596</v>
      </c>
      <c r="D134">
        <v>5540.0095134465</v>
      </c>
      <c r="E134">
        <v>11251.006637537999</v>
      </c>
      <c r="F134">
        <v>908.51341594041605</v>
      </c>
      <c r="H134">
        <f t="shared" si="11"/>
        <v>4.8969986395864993</v>
      </c>
      <c r="I134">
        <f t="shared" si="7"/>
        <v>2.8912223421454213</v>
      </c>
      <c r="J134">
        <f t="shared" si="8"/>
        <v>3.7435105105106992</v>
      </c>
      <c r="K134">
        <f t="shared" si="9"/>
        <v>4.05119138089806</v>
      </c>
      <c r="L134">
        <f t="shared" si="10"/>
        <v>2.9583313448811168</v>
      </c>
    </row>
    <row r="135" spans="1:12" x14ac:dyDescent="0.35">
      <c r="A135" t="s">
        <v>138</v>
      </c>
      <c r="B135">
        <v>22350.997535746599</v>
      </c>
      <c r="C135">
        <v>417.50350972048898</v>
      </c>
      <c r="D135">
        <v>3039.7858367184799</v>
      </c>
      <c r="E135">
        <v>6688.0050922652499</v>
      </c>
      <c r="F135">
        <v>500.69799855247402</v>
      </c>
      <c r="H135">
        <f t="shared" si="11"/>
        <v>4.3492969106716508</v>
      </c>
      <c r="I135">
        <f t="shared" si="7"/>
        <v>2.6206601307078476</v>
      </c>
      <c r="J135">
        <f t="shared" si="8"/>
        <v>3.4828429871588371</v>
      </c>
      <c r="K135">
        <f t="shared" si="9"/>
        <v>3.8252965951040845</v>
      </c>
      <c r="L135">
        <f t="shared" si="10"/>
        <v>2.6995758553906137</v>
      </c>
    </row>
    <row r="136" spans="1:12" x14ac:dyDescent="0.35">
      <c r="A136" t="s">
        <v>139</v>
      </c>
      <c r="B136">
        <v>204671.72838054301</v>
      </c>
      <c r="C136">
        <v>3753.57719527883</v>
      </c>
      <c r="D136">
        <v>35293.754102965802</v>
      </c>
      <c r="E136">
        <v>244174.9557238</v>
      </c>
      <c r="F136">
        <v>6022.3660272610005</v>
      </c>
      <c r="H136">
        <f t="shared" si="11"/>
        <v>5.3110578570431137</v>
      </c>
      <c r="I136">
        <f t="shared" si="7"/>
        <v>3.574445351903186</v>
      </c>
      <c r="J136">
        <f t="shared" si="8"/>
        <v>4.5476978555685141</v>
      </c>
      <c r="K136">
        <f t="shared" si="9"/>
        <v>5.387701117640284</v>
      </c>
      <c r="L136">
        <f t="shared" si="10"/>
        <v>3.7797671475216155</v>
      </c>
    </row>
    <row r="137" spans="1:12" x14ac:dyDescent="0.35">
      <c r="A137" t="s">
        <v>140</v>
      </c>
      <c r="B137">
        <v>173263.64092904699</v>
      </c>
      <c r="C137">
        <v>1531.7302210246401</v>
      </c>
      <c r="D137">
        <v>14318.1803067809</v>
      </c>
      <c r="E137">
        <v>15069.218775322201</v>
      </c>
      <c r="F137">
        <v>2447.4087802265199</v>
      </c>
      <c r="H137">
        <f t="shared" si="11"/>
        <v>5.2387074363401425</v>
      </c>
      <c r="I137">
        <f t="shared" si="7"/>
        <v>3.1851822810684172</v>
      </c>
      <c r="J137">
        <f t="shared" si="8"/>
        <v>4.155887827124066</v>
      </c>
      <c r="K137">
        <f t="shared" si="9"/>
        <v>4.1780907380239132</v>
      </c>
      <c r="L137">
        <f t="shared" si="10"/>
        <v>3.3887065137611647</v>
      </c>
    </row>
    <row r="138" spans="1:12" x14ac:dyDescent="0.35">
      <c r="A138" t="s">
        <v>141</v>
      </c>
      <c r="B138">
        <v>517735.67221278499</v>
      </c>
      <c r="C138">
        <v>2914.3890687559701</v>
      </c>
      <c r="D138">
        <v>24270.724520587501</v>
      </c>
      <c r="E138">
        <v>29513.256902287099</v>
      </c>
      <c r="F138">
        <v>4076.1204524625</v>
      </c>
      <c r="H138">
        <f t="shared" si="11"/>
        <v>5.7141080890912752</v>
      </c>
      <c r="I138">
        <f t="shared" si="7"/>
        <v>3.4645475292920995</v>
      </c>
      <c r="J138">
        <f t="shared" si="8"/>
        <v>4.3850827409218249</v>
      </c>
      <c r="K138">
        <f t="shared" si="9"/>
        <v>4.4700171382238914</v>
      </c>
      <c r="L138">
        <f t="shared" si="10"/>
        <v>3.6102470092565824</v>
      </c>
    </row>
    <row r="139" spans="1:12" x14ac:dyDescent="0.35">
      <c r="A139" t="s">
        <v>142</v>
      </c>
      <c r="B139">
        <v>47631.335098013602</v>
      </c>
      <c r="C139">
        <v>892.68952275506899</v>
      </c>
      <c r="D139">
        <v>6481.2960976492504</v>
      </c>
      <c r="E139">
        <v>14167.932452805</v>
      </c>
      <c r="F139">
        <v>1067.21381863335</v>
      </c>
      <c r="H139">
        <f t="shared" si="11"/>
        <v>4.6778927548807658</v>
      </c>
      <c r="I139">
        <f t="shared" si="7"/>
        <v>2.9507004376120363</v>
      </c>
      <c r="J139">
        <f t="shared" si="8"/>
        <v>3.8116618626254599</v>
      </c>
      <c r="K139">
        <f t="shared" si="9"/>
        <v>4.15130647763967</v>
      </c>
      <c r="L139">
        <f t="shared" si="10"/>
        <v>3.0282514399957847</v>
      </c>
    </row>
    <row r="140" spans="1:12" x14ac:dyDescent="0.35">
      <c r="A140" t="s">
        <v>143</v>
      </c>
      <c r="B140">
        <v>152280.85587218401</v>
      </c>
      <c r="C140">
        <v>45802.997743882399</v>
      </c>
      <c r="D140">
        <v>63911.2658286609</v>
      </c>
      <c r="E140">
        <v>47838.127359829399</v>
      </c>
      <c r="F140">
        <v>9241.7929623290602</v>
      </c>
      <c r="H140">
        <f t="shared" si="11"/>
        <v>5.1826453090375368</v>
      </c>
      <c r="I140">
        <f t="shared" si="7"/>
        <v>4.6608939029170013</v>
      </c>
      <c r="J140">
        <f t="shared" si="8"/>
        <v>4.8055774192847212</v>
      </c>
      <c r="K140">
        <f t="shared" si="9"/>
        <v>4.6797741707042153</v>
      </c>
      <c r="L140">
        <f t="shared" si="10"/>
        <v>3.9657562350845272</v>
      </c>
    </row>
    <row r="141" spans="1:12" x14ac:dyDescent="0.35">
      <c r="A141" t="s">
        <v>144</v>
      </c>
      <c r="B141">
        <v>503894.01751027402</v>
      </c>
      <c r="C141">
        <v>2070.7884356796098</v>
      </c>
      <c r="D141">
        <v>15404.367856434499</v>
      </c>
      <c r="E141">
        <v>34388.838001513097</v>
      </c>
      <c r="F141">
        <v>2538.6931316047599</v>
      </c>
      <c r="H141">
        <f t="shared" si="11"/>
        <v>5.7023392022182424</v>
      </c>
      <c r="I141">
        <f t="shared" si="7"/>
        <v>3.3161357309985591</v>
      </c>
      <c r="J141">
        <f t="shared" si="8"/>
        <v>4.1876438810304197</v>
      </c>
      <c r="K141">
        <f t="shared" si="9"/>
        <v>4.5364175012638048</v>
      </c>
      <c r="L141">
        <f t="shared" si="10"/>
        <v>3.4046102080398972</v>
      </c>
    </row>
    <row r="142" spans="1:12" x14ac:dyDescent="0.35">
      <c r="A142" t="s">
        <v>145</v>
      </c>
      <c r="B142">
        <v>334779.54931120499</v>
      </c>
      <c r="C142">
        <v>6493.2554625149196</v>
      </c>
      <c r="D142">
        <v>62327.102152807201</v>
      </c>
      <c r="E142">
        <v>536846.42988882901</v>
      </c>
      <c r="F142">
        <v>10670.401275710599</v>
      </c>
      <c r="H142">
        <f t="shared" si="11"/>
        <v>5.5247589203709078</v>
      </c>
      <c r="I142">
        <f t="shared" si="7"/>
        <v>3.81246248954734</v>
      </c>
      <c r="J142">
        <f t="shared" si="8"/>
        <v>4.7946769351977636</v>
      </c>
      <c r="K142">
        <f t="shared" si="9"/>
        <v>5.7298500693303147</v>
      </c>
      <c r="L142">
        <f t="shared" si="10"/>
        <v>4.0281807519970965</v>
      </c>
    </row>
    <row r="143" spans="1:12" x14ac:dyDescent="0.35">
      <c r="A143" t="s">
        <v>146</v>
      </c>
      <c r="B143">
        <v>9655.8939913925606</v>
      </c>
      <c r="C143">
        <v>307.53075725510001</v>
      </c>
      <c r="D143">
        <v>2487.2993691144802</v>
      </c>
      <c r="E143">
        <v>5960.66441933239</v>
      </c>
      <c r="F143">
        <v>391.92383840042697</v>
      </c>
      <c r="H143">
        <f t="shared" si="11"/>
        <v>3.9847924891516411</v>
      </c>
      <c r="I143">
        <f t="shared" si="7"/>
        <v>2.4878885576339398</v>
      </c>
      <c r="J143">
        <f t="shared" si="8"/>
        <v>3.3957280597089996</v>
      </c>
      <c r="K143">
        <f t="shared" si="9"/>
        <v>3.7752946720836889</v>
      </c>
      <c r="L143">
        <f t="shared" si="10"/>
        <v>2.5932016798366231</v>
      </c>
    </row>
    <row r="144" spans="1:12" x14ac:dyDescent="0.35">
      <c r="A144" t="s">
        <v>147</v>
      </c>
      <c r="B144">
        <v>275758.40802149998</v>
      </c>
      <c r="C144">
        <v>4773.8829969769304</v>
      </c>
      <c r="D144">
        <v>37051.195776955799</v>
      </c>
      <c r="E144">
        <v>96179.627414349205</v>
      </c>
      <c r="F144">
        <v>6150.5636452139897</v>
      </c>
      <c r="H144">
        <f t="shared" si="11"/>
        <v>5.4405287631853803</v>
      </c>
      <c r="I144">
        <f t="shared" si="7"/>
        <v>3.6788717706845655</v>
      </c>
      <c r="J144">
        <f t="shared" si="8"/>
        <v>4.5688022288053132</v>
      </c>
      <c r="K144">
        <f t="shared" si="9"/>
        <v>4.98308309034846</v>
      </c>
      <c r="L144">
        <f t="shared" si="10"/>
        <v>3.7889149168794019</v>
      </c>
    </row>
    <row r="145" spans="1:12" x14ac:dyDescent="0.35">
      <c r="A145" t="s">
        <v>148</v>
      </c>
      <c r="B145">
        <v>860419.43367805798</v>
      </c>
      <c r="C145">
        <v>5655.9975916954199</v>
      </c>
      <c r="D145">
        <v>49948.309169794498</v>
      </c>
      <c r="E145">
        <v>59146.714278030799</v>
      </c>
      <c r="F145">
        <v>8461.4460000599702</v>
      </c>
      <c r="H145">
        <f t="shared" si="11"/>
        <v>5.934710210924897</v>
      </c>
      <c r="I145">
        <f t="shared" si="7"/>
        <v>3.7525092158677658</v>
      </c>
      <c r="J145">
        <f t="shared" si="8"/>
        <v>4.6985207912475495</v>
      </c>
      <c r="K145">
        <f t="shared" si="9"/>
        <v>4.7719306236798387</v>
      </c>
      <c r="L145">
        <f t="shared" si="10"/>
        <v>3.92744458717429</v>
      </c>
    </row>
    <row r="146" spans="1:12" x14ac:dyDescent="0.35">
      <c r="A146" t="s">
        <v>149</v>
      </c>
      <c r="B146">
        <v>187918.12759704201</v>
      </c>
      <c r="C146">
        <v>4472.3063450218397</v>
      </c>
      <c r="D146">
        <v>50284.622408250601</v>
      </c>
      <c r="E146">
        <v>136268.66289146899</v>
      </c>
      <c r="F146">
        <v>8675.9018339645609</v>
      </c>
      <c r="H146">
        <f t="shared" si="11"/>
        <v>5.2739686765115472</v>
      </c>
      <c r="I146">
        <f t="shared" ref="I146:I201" si="12">LOG(C146)</f>
        <v>3.6505315442960331</v>
      </c>
      <c r="J146">
        <f t="shared" ref="J146:J201" si="13">LOG(D146)</f>
        <v>4.7014351933202949</v>
      </c>
      <c r="K146">
        <f t="shared" ref="K146:K201" si="14">LOG(E146)</f>
        <v>5.1343959945136444</v>
      </c>
      <c r="L146">
        <f t="shared" ref="L146:L201" si="15">LOG(F146)</f>
        <v>3.938314629417687</v>
      </c>
    </row>
    <row r="147" spans="1:12" x14ac:dyDescent="0.35">
      <c r="A147" t="s">
        <v>150</v>
      </c>
      <c r="B147">
        <v>144984.20764564999</v>
      </c>
      <c r="C147">
        <v>3047.7892202335502</v>
      </c>
      <c r="D147">
        <v>30781.367084308298</v>
      </c>
      <c r="E147">
        <v>194542.019687375</v>
      </c>
      <c r="F147">
        <v>5268.5945938453797</v>
      </c>
      <c r="H147">
        <f t="shared" si="11"/>
        <v>5.1613206994358816</v>
      </c>
      <c r="I147">
        <f t="shared" si="12"/>
        <v>3.4839849286600884</v>
      </c>
      <c r="J147">
        <f t="shared" si="13"/>
        <v>4.4882879041240145</v>
      </c>
      <c r="K147">
        <f t="shared" si="14"/>
        <v>5.2890134203013064</v>
      </c>
      <c r="L147">
        <f t="shared" si="15"/>
        <v>3.7216947819036612</v>
      </c>
    </row>
    <row r="148" spans="1:12" x14ac:dyDescent="0.35">
      <c r="A148" t="s">
        <v>151</v>
      </c>
      <c r="B148">
        <v>1057231.6190309001</v>
      </c>
      <c r="C148">
        <v>1533.1337389339601</v>
      </c>
      <c r="D148">
        <v>10960.1335406992</v>
      </c>
      <c r="E148">
        <v>22459.955870712201</v>
      </c>
      <c r="F148">
        <v>1810.98588976666</v>
      </c>
      <c r="H148">
        <f t="shared" si="11"/>
        <v>6.0241701432652892</v>
      </c>
      <c r="I148">
        <f t="shared" si="12"/>
        <v>3.1855800410563591</v>
      </c>
      <c r="J148">
        <f t="shared" si="13"/>
        <v>4.0398158457209279</v>
      </c>
      <c r="K148">
        <f t="shared" si="14"/>
        <v>4.3514088986251265</v>
      </c>
      <c r="L148">
        <f t="shared" si="15"/>
        <v>3.2579150665369458</v>
      </c>
    </row>
    <row r="149" spans="1:12" x14ac:dyDescent="0.35">
      <c r="A149" t="s">
        <v>152</v>
      </c>
      <c r="B149">
        <v>23443.404552364002</v>
      </c>
      <c r="C149">
        <v>287.57569116093799</v>
      </c>
      <c r="D149">
        <v>2943.8338352463002</v>
      </c>
      <c r="E149">
        <v>3011.00546697665</v>
      </c>
      <c r="F149">
        <v>511.11242123982902</v>
      </c>
      <c r="H149">
        <f t="shared" si="11"/>
        <v>4.3700206820447338</v>
      </c>
      <c r="I149">
        <f t="shared" si="12"/>
        <v>2.4587521722502936</v>
      </c>
      <c r="J149">
        <f t="shared" si="13"/>
        <v>3.4689132925974442</v>
      </c>
      <c r="K149">
        <f t="shared" si="14"/>
        <v>3.4787115440466803</v>
      </c>
      <c r="L149">
        <f t="shared" si="15"/>
        <v>2.7085164354658344</v>
      </c>
    </row>
    <row r="150" spans="1:12" x14ac:dyDescent="0.35">
      <c r="A150" t="s">
        <v>153</v>
      </c>
      <c r="B150">
        <v>534832.16044282995</v>
      </c>
      <c r="C150">
        <v>1517.80928138595</v>
      </c>
      <c r="D150">
        <v>11508.212574389299</v>
      </c>
      <c r="E150">
        <v>24219.786878075902</v>
      </c>
      <c r="F150">
        <v>1919.4698899588</v>
      </c>
      <c r="H150">
        <f t="shared" si="11"/>
        <v>5.7282175143022025</v>
      </c>
      <c r="I150">
        <f t="shared" si="12"/>
        <v>3.1812172042041964</v>
      </c>
      <c r="J150">
        <f t="shared" si="13"/>
        <v>4.0610078753795342</v>
      </c>
      <c r="K150">
        <f t="shared" si="14"/>
        <v>4.3841703172511775</v>
      </c>
      <c r="L150">
        <f t="shared" si="15"/>
        <v>3.2831813038838447</v>
      </c>
    </row>
    <row r="151" spans="1:12" x14ac:dyDescent="0.35">
      <c r="A151" t="s">
        <v>154</v>
      </c>
      <c r="B151">
        <v>428767.42048567301</v>
      </c>
      <c r="C151">
        <v>1779.1514137634299</v>
      </c>
      <c r="D151">
        <v>15007.471486655701</v>
      </c>
      <c r="E151">
        <v>19418.057535945602</v>
      </c>
      <c r="F151">
        <v>2525.0545193285002</v>
      </c>
      <c r="H151">
        <f t="shared" si="11"/>
        <v>5.632221778455154</v>
      </c>
      <c r="I151">
        <f t="shared" si="12"/>
        <v>3.2502129100646475</v>
      </c>
      <c r="J151">
        <f t="shared" si="13"/>
        <v>4.1763075268938215</v>
      </c>
      <c r="K151">
        <f t="shared" si="14"/>
        <v>4.288205783573372</v>
      </c>
      <c r="L151">
        <f t="shared" si="15"/>
        <v>3.4022707595588026</v>
      </c>
    </row>
    <row r="152" spans="1:12" x14ac:dyDescent="0.35">
      <c r="A152" t="s">
        <v>155</v>
      </c>
      <c r="B152">
        <v>130940.681908365</v>
      </c>
      <c r="C152">
        <v>2512.2771548454398</v>
      </c>
      <c r="D152">
        <v>17881.282046766901</v>
      </c>
      <c r="E152">
        <v>37403.325580778597</v>
      </c>
      <c r="F152">
        <v>2937.5718219662199</v>
      </c>
      <c r="H152">
        <f t="shared" si="11"/>
        <v>5.1170745982956838</v>
      </c>
      <c r="I152">
        <f t="shared" si="12"/>
        <v>3.4000675491496803</v>
      </c>
      <c r="J152">
        <f t="shared" si="13"/>
        <v>4.2523986534909834</v>
      </c>
      <c r="K152">
        <f t="shared" si="14"/>
        <v>4.5729102176329093</v>
      </c>
      <c r="L152">
        <f t="shared" si="15"/>
        <v>3.4679884936635523</v>
      </c>
    </row>
    <row r="153" spans="1:12" x14ac:dyDescent="0.35">
      <c r="A153" t="s">
        <v>156</v>
      </c>
      <c r="B153">
        <v>67542.136982974305</v>
      </c>
      <c r="C153">
        <v>1159.6160563467799</v>
      </c>
      <c r="D153">
        <v>9062.5882261800398</v>
      </c>
      <c r="E153">
        <v>24010.031126637801</v>
      </c>
      <c r="F153">
        <v>1505.7263918118001</v>
      </c>
      <c r="H153">
        <f t="shared" si="11"/>
        <v>4.8295747972711371</v>
      </c>
      <c r="I153">
        <f t="shared" si="12"/>
        <v>3.0643142200794151</v>
      </c>
      <c r="J153">
        <f t="shared" si="13"/>
        <v>3.9572522475466796</v>
      </c>
      <c r="K153">
        <f t="shared" si="14"/>
        <v>4.3803927230773638</v>
      </c>
      <c r="L153">
        <f t="shared" si="15"/>
        <v>3.1777460626204763</v>
      </c>
    </row>
    <row r="154" spans="1:12" x14ac:dyDescent="0.35">
      <c r="A154" t="s">
        <v>157</v>
      </c>
      <c r="B154">
        <v>1490902.55899691</v>
      </c>
      <c r="C154">
        <v>3967.2632898643401</v>
      </c>
      <c r="D154">
        <v>29477.130855899999</v>
      </c>
      <c r="E154">
        <v>65627.0518991227</v>
      </c>
      <c r="F154">
        <v>4857.2759600979498</v>
      </c>
      <c r="H154">
        <f t="shared" si="11"/>
        <v>6.1734492601714281</v>
      </c>
      <c r="I154">
        <f t="shared" si="12"/>
        <v>3.5984910236505661</v>
      </c>
      <c r="J154">
        <f t="shared" si="13"/>
        <v>4.4694852093739037</v>
      </c>
      <c r="K154">
        <f t="shared" si="14"/>
        <v>4.8170828953021694</v>
      </c>
      <c r="L154">
        <f t="shared" si="15"/>
        <v>3.6863927780752999</v>
      </c>
    </row>
    <row r="155" spans="1:12" x14ac:dyDescent="0.35">
      <c r="A155" t="s">
        <v>158</v>
      </c>
      <c r="B155">
        <v>99103.174538990905</v>
      </c>
      <c r="C155">
        <v>175739.747417651</v>
      </c>
      <c r="D155">
        <v>35732.018074411899</v>
      </c>
      <c r="E155">
        <v>29210.752888688199</v>
      </c>
      <c r="F155">
        <v>5265.7477873559901</v>
      </c>
      <c r="H155">
        <f t="shared" si="11"/>
        <v>4.9960875663186215</v>
      </c>
      <c r="I155">
        <f t="shared" si="12"/>
        <v>5.2448699978749653</v>
      </c>
      <c r="J155">
        <f t="shared" si="13"/>
        <v>4.5530575449970359</v>
      </c>
      <c r="K155">
        <f t="shared" si="14"/>
        <v>4.4655427507835102</v>
      </c>
      <c r="L155">
        <f t="shared" si="15"/>
        <v>3.7214600539377862</v>
      </c>
    </row>
    <row r="156" spans="1:12" x14ac:dyDescent="0.35">
      <c r="A156" t="s">
        <v>159</v>
      </c>
      <c r="B156">
        <v>329578.08392532601</v>
      </c>
      <c r="C156">
        <v>2095.43005711875</v>
      </c>
      <c r="D156">
        <v>17666.310657201</v>
      </c>
      <c r="E156">
        <v>20155.848021578</v>
      </c>
      <c r="F156">
        <v>2972.1927989641099</v>
      </c>
      <c r="H156">
        <f t="shared" si="11"/>
        <v>5.5179583245458588</v>
      </c>
      <c r="I156">
        <f t="shared" si="12"/>
        <v>3.3212731691954782</v>
      </c>
      <c r="J156">
        <f t="shared" si="13"/>
        <v>4.2471458631167316</v>
      </c>
      <c r="K156">
        <f t="shared" si="14"/>
        <v>4.3044010750439767</v>
      </c>
      <c r="L156">
        <f t="shared" si="15"/>
        <v>3.4730769776357922</v>
      </c>
    </row>
    <row r="157" spans="1:12" x14ac:dyDescent="0.35">
      <c r="A157" t="s">
        <v>160</v>
      </c>
      <c r="B157">
        <v>244162.849567369</v>
      </c>
      <c r="C157">
        <v>6199.3462327321404</v>
      </c>
      <c r="D157">
        <v>97466.347416040997</v>
      </c>
      <c r="E157">
        <v>89125.505961080096</v>
      </c>
      <c r="F157">
        <v>18743.037281408</v>
      </c>
      <c r="H157">
        <f t="shared" si="11"/>
        <v>5.3876795848534336</v>
      </c>
      <c r="I157">
        <f t="shared" si="12"/>
        <v>3.7923458923228521</v>
      </c>
      <c r="J157">
        <f t="shared" si="13"/>
        <v>4.988854691038676</v>
      </c>
      <c r="K157">
        <f t="shared" si="14"/>
        <v>4.9500020083351695</v>
      </c>
      <c r="L157">
        <f t="shared" si="15"/>
        <v>4.2728399690316241</v>
      </c>
    </row>
    <row r="158" spans="1:12" x14ac:dyDescent="0.35">
      <c r="A158" t="s">
        <v>161</v>
      </c>
      <c r="B158">
        <v>81041.745684124297</v>
      </c>
      <c r="C158">
        <v>719.276419871857</v>
      </c>
      <c r="D158">
        <v>4992.9009976114403</v>
      </c>
      <c r="E158">
        <v>9664.9371522518395</v>
      </c>
      <c r="F158">
        <v>816.60184957366096</v>
      </c>
      <c r="H158">
        <f t="shared" si="11"/>
        <v>4.9087087873968551</v>
      </c>
      <c r="I158">
        <f t="shared" si="12"/>
        <v>2.8568958230042556</v>
      </c>
      <c r="J158">
        <f t="shared" si="13"/>
        <v>3.6983529546757143</v>
      </c>
      <c r="K158">
        <f t="shared" si="14"/>
        <v>3.9851990343067376</v>
      </c>
      <c r="L158">
        <f t="shared" si="15"/>
        <v>2.9120103592493898</v>
      </c>
    </row>
    <row r="159" spans="1:12" x14ac:dyDescent="0.35">
      <c r="A159" t="s">
        <v>162</v>
      </c>
      <c r="B159">
        <v>764726.18870758498</v>
      </c>
      <c r="C159">
        <v>13321.928272233999</v>
      </c>
      <c r="D159">
        <v>122779.694975746</v>
      </c>
      <c r="E159">
        <v>708181.33997493598</v>
      </c>
      <c r="F159">
        <v>20880.470605611299</v>
      </c>
      <c r="H159">
        <f t="shared" si="11"/>
        <v>5.8835059632325297</v>
      </c>
      <c r="I159">
        <f t="shared" si="12"/>
        <v>4.1245670910040086</v>
      </c>
      <c r="J159">
        <f t="shared" si="13"/>
        <v>5.0891265501184364</v>
      </c>
      <c r="K159">
        <f t="shared" si="14"/>
        <v>5.8501444792525312</v>
      </c>
      <c r="L159">
        <f t="shared" si="15"/>
        <v>4.3197402826021083</v>
      </c>
    </row>
    <row r="160" spans="1:12" x14ac:dyDescent="0.35">
      <c r="A160" t="s">
        <v>163</v>
      </c>
      <c r="B160">
        <v>1099755.41080222</v>
      </c>
      <c r="C160">
        <v>5044.1169269561897</v>
      </c>
      <c r="D160">
        <v>39076.409505019103</v>
      </c>
      <c r="E160">
        <v>96383.958323240993</v>
      </c>
      <c r="F160">
        <v>6470.5796319267502</v>
      </c>
      <c r="H160">
        <f t="shared" si="11"/>
        <v>6.0412961073852189</v>
      </c>
      <c r="I160">
        <f t="shared" si="12"/>
        <v>3.702785145336271</v>
      </c>
      <c r="J160">
        <f t="shared" si="13"/>
        <v>4.5919146521860874</v>
      </c>
      <c r="K160">
        <f t="shared" si="14"/>
        <v>4.9840047580581643</v>
      </c>
      <c r="L160">
        <f t="shared" si="15"/>
        <v>3.8109431863367078</v>
      </c>
    </row>
    <row r="161" spans="1:12" x14ac:dyDescent="0.35">
      <c r="A161" t="s">
        <v>164</v>
      </c>
      <c r="B161">
        <v>109108.414437402</v>
      </c>
      <c r="C161">
        <v>1183.2037575433801</v>
      </c>
      <c r="D161">
        <v>7956.2809435692297</v>
      </c>
      <c r="E161">
        <v>14556.3940925841</v>
      </c>
      <c r="F161">
        <v>1296.9708865883999</v>
      </c>
      <c r="H161">
        <f t="shared" si="11"/>
        <v>5.0378582446563245</v>
      </c>
      <c r="I161">
        <f t="shared" si="12"/>
        <v>3.0730595401958714</v>
      </c>
      <c r="J161">
        <f t="shared" si="13"/>
        <v>3.9007101100591899</v>
      </c>
      <c r="K161">
        <f t="shared" si="14"/>
        <v>4.1630538049464709</v>
      </c>
      <c r="L161">
        <f t="shared" si="15"/>
        <v>3.1129302274827575</v>
      </c>
    </row>
    <row r="162" spans="1:12" x14ac:dyDescent="0.35">
      <c r="A162" t="s">
        <v>165</v>
      </c>
      <c r="B162">
        <v>384095.03963569802</v>
      </c>
      <c r="C162">
        <v>3240.2449215196798</v>
      </c>
      <c r="D162">
        <v>25083.186224145898</v>
      </c>
      <c r="E162">
        <v>61747.253496972698</v>
      </c>
      <c r="F162">
        <v>4153.1000360630796</v>
      </c>
      <c r="H162">
        <f t="shared" si="11"/>
        <v>5.5844386985404562</v>
      </c>
      <c r="I162">
        <f t="shared" si="12"/>
        <v>3.5105778386153639</v>
      </c>
      <c r="J162">
        <f t="shared" si="13"/>
        <v>4.3993827024806098</v>
      </c>
      <c r="K162">
        <f t="shared" si="14"/>
        <v>4.7906176450469031</v>
      </c>
      <c r="L162">
        <f t="shared" si="15"/>
        <v>3.6183723921228688</v>
      </c>
    </row>
    <row r="163" spans="1:12" x14ac:dyDescent="0.35">
      <c r="A163" t="s">
        <v>166</v>
      </c>
      <c r="B163">
        <v>133611.62953339599</v>
      </c>
      <c r="C163">
        <v>2499.2595858176201</v>
      </c>
      <c r="D163">
        <v>18175.3865502638</v>
      </c>
      <c r="E163">
        <v>39880.437388396997</v>
      </c>
      <c r="F163">
        <v>2993.3436093509999</v>
      </c>
      <c r="H163">
        <f t="shared" si="11"/>
        <v>5.125844260702185</v>
      </c>
      <c r="I163">
        <f t="shared" si="12"/>
        <v>3.397811366503908</v>
      </c>
      <c r="J163">
        <f t="shared" si="13"/>
        <v>4.2594836561121676</v>
      </c>
      <c r="K163">
        <f t="shared" si="14"/>
        <v>4.6007599127872005</v>
      </c>
      <c r="L163">
        <f t="shared" si="15"/>
        <v>3.4761565728641592</v>
      </c>
    </row>
    <row r="164" spans="1:12" x14ac:dyDescent="0.35">
      <c r="A164" t="s">
        <v>167</v>
      </c>
      <c r="B164">
        <v>804474.71552047203</v>
      </c>
      <c r="C164">
        <v>4708.0366732179</v>
      </c>
      <c r="D164">
        <v>41057.101352143298</v>
      </c>
      <c r="E164">
        <v>51913.842431233403</v>
      </c>
      <c r="F164">
        <v>6941.9969946590199</v>
      </c>
      <c r="H164">
        <f t="shared" si="11"/>
        <v>5.9055123988607798</v>
      </c>
      <c r="I164">
        <f t="shared" si="12"/>
        <v>3.6728398371183246</v>
      </c>
      <c r="J164">
        <f t="shared" si="13"/>
        <v>4.6133882847519052</v>
      </c>
      <c r="K164">
        <f t="shared" si="14"/>
        <v>4.715283174610378</v>
      </c>
      <c r="L164">
        <f t="shared" si="15"/>
        <v>3.8414844213199384</v>
      </c>
    </row>
    <row r="165" spans="1:12" x14ac:dyDescent="0.35">
      <c r="A165" t="s">
        <v>168</v>
      </c>
      <c r="B165">
        <v>133848.74530894301</v>
      </c>
      <c r="C165">
        <v>5768.5813853142599</v>
      </c>
      <c r="D165">
        <v>33335.961550857501</v>
      </c>
      <c r="E165">
        <v>47523.456975501002</v>
      </c>
      <c r="F165">
        <v>4945.7705350156803</v>
      </c>
      <c r="H165">
        <f t="shared" si="11"/>
        <v>5.1266143044885357</v>
      </c>
      <c r="I165">
        <f t="shared" si="12"/>
        <v>3.7610690241991875</v>
      </c>
      <c r="J165">
        <f t="shared" si="13"/>
        <v>4.5229129865414928</v>
      </c>
      <c r="K165">
        <f t="shared" si="14"/>
        <v>4.6769080247925192</v>
      </c>
      <c r="L165">
        <f t="shared" si="15"/>
        <v>3.6942339628768233</v>
      </c>
    </row>
    <row r="166" spans="1:12" x14ac:dyDescent="0.35">
      <c r="A166" t="s">
        <v>169</v>
      </c>
      <c r="B166">
        <v>7101382.6150378101</v>
      </c>
      <c r="C166">
        <v>3242.8236812804598</v>
      </c>
      <c r="D166">
        <v>23841.632947072601</v>
      </c>
      <c r="E166">
        <v>48890.687503680303</v>
      </c>
      <c r="F166">
        <v>3963.1704503053102</v>
      </c>
      <c r="H166">
        <f t="shared" si="11"/>
        <v>6.8513429126097458</v>
      </c>
      <c r="I166">
        <f t="shared" si="12"/>
        <v>3.510923335867342</v>
      </c>
      <c r="J166">
        <f t="shared" si="13"/>
        <v>4.3773359975285997</v>
      </c>
      <c r="K166">
        <f t="shared" si="14"/>
        <v>4.6892261443809415</v>
      </c>
      <c r="L166">
        <f t="shared" si="15"/>
        <v>3.5980427511217608</v>
      </c>
    </row>
    <row r="167" spans="1:12" x14ac:dyDescent="0.35">
      <c r="A167" t="s">
        <v>170</v>
      </c>
      <c r="B167">
        <v>92221.978689442301</v>
      </c>
      <c r="C167">
        <v>1536.1769247290299</v>
      </c>
      <c r="D167">
        <v>13919.474074609599</v>
      </c>
      <c r="E167">
        <v>71077.702275563206</v>
      </c>
      <c r="F167">
        <v>2361.0822065279399</v>
      </c>
      <c r="H167">
        <f t="shared" si="11"/>
        <v>4.9648344360864609</v>
      </c>
      <c r="I167">
        <f t="shared" si="12"/>
        <v>3.1864412371854645</v>
      </c>
      <c r="J167">
        <f t="shared" si="13"/>
        <v>4.1436228264519945</v>
      </c>
      <c r="K167">
        <f t="shared" si="14"/>
        <v>4.8517333799496258</v>
      </c>
      <c r="L167">
        <f t="shared" si="15"/>
        <v>3.3731111083069916</v>
      </c>
    </row>
    <row r="168" spans="1:12" x14ac:dyDescent="0.35">
      <c r="A168" t="s">
        <v>171</v>
      </c>
      <c r="B168">
        <v>571379.97350941901</v>
      </c>
      <c r="C168">
        <v>1571.7066010327901</v>
      </c>
      <c r="D168">
        <v>12679.697329826</v>
      </c>
      <c r="E168">
        <v>23978.293183396101</v>
      </c>
      <c r="F168">
        <v>2120.01993183082</v>
      </c>
      <c r="H168">
        <f t="shared" si="11"/>
        <v>5.7569250145788065</v>
      </c>
      <c r="I168">
        <f t="shared" si="12"/>
        <v>3.1963714771709779</v>
      </c>
      <c r="J168">
        <f t="shared" si="13"/>
        <v>4.1031088868615457</v>
      </c>
      <c r="K168">
        <f t="shared" si="14"/>
        <v>4.3798182660266249</v>
      </c>
      <c r="L168">
        <f t="shared" si="15"/>
        <v>3.326339944062453</v>
      </c>
    </row>
    <row r="169" spans="1:12" x14ac:dyDescent="0.35">
      <c r="A169" t="s">
        <v>172</v>
      </c>
      <c r="B169">
        <v>59460.772062915501</v>
      </c>
      <c r="C169">
        <v>1109.06449478023</v>
      </c>
      <c r="D169">
        <v>8084.9636437474201</v>
      </c>
      <c r="E169">
        <v>17839.3167131599</v>
      </c>
      <c r="F169">
        <v>1331.90805673774</v>
      </c>
      <c r="H169">
        <f t="shared" si="11"/>
        <v>4.7742305439622088</v>
      </c>
      <c r="I169">
        <f t="shared" si="12"/>
        <v>3.0449568021570346</v>
      </c>
      <c r="J169">
        <f t="shared" si="13"/>
        <v>3.9076780713227688</v>
      </c>
      <c r="K169">
        <f t="shared" si="14"/>
        <v>4.2513782158816289</v>
      </c>
      <c r="L169">
        <f t="shared" si="15"/>
        <v>3.1244742459832011</v>
      </c>
    </row>
    <row r="170" spans="1:12" x14ac:dyDescent="0.35">
      <c r="A170" t="s">
        <v>173</v>
      </c>
      <c r="B170">
        <v>374019.66170126799</v>
      </c>
      <c r="C170">
        <v>11701.844867588001</v>
      </c>
      <c r="D170">
        <v>95133.158770880094</v>
      </c>
      <c r="E170">
        <v>222000.793425393</v>
      </c>
      <c r="F170">
        <v>14992.428143766499</v>
      </c>
      <c r="H170">
        <f t="shared" si="11"/>
        <v>5.5728944330665779</v>
      </c>
      <c r="I170">
        <f t="shared" si="12"/>
        <v>4.0682543363317771</v>
      </c>
      <c r="J170">
        <f t="shared" si="13"/>
        <v>4.9783319171607907</v>
      </c>
      <c r="K170">
        <f t="shared" si="14"/>
        <v>5.3463545266112433</v>
      </c>
      <c r="L170">
        <f t="shared" si="15"/>
        <v>4.1758719760130365</v>
      </c>
    </row>
    <row r="171" spans="1:12" x14ac:dyDescent="0.35">
      <c r="A171" t="s">
        <v>174</v>
      </c>
      <c r="B171">
        <v>957304.85053667298</v>
      </c>
      <c r="C171">
        <v>5538.7538738564099</v>
      </c>
      <c r="D171">
        <v>47632.920147987898</v>
      </c>
      <c r="E171">
        <v>61577.420273977303</v>
      </c>
      <c r="F171">
        <v>8037.11443016864</v>
      </c>
      <c r="H171">
        <f t="shared" si="11"/>
        <v>5.98105025943127</v>
      </c>
      <c r="I171">
        <f t="shared" si="12"/>
        <v>3.7434120667894089</v>
      </c>
      <c r="J171">
        <f t="shared" si="13"/>
        <v>4.677907206858702</v>
      </c>
      <c r="K171">
        <f t="shared" si="14"/>
        <v>4.7894214906041332</v>
      </c>
      <c r="L171">
        <f t="shared" si="15"/>
        <v>3.9051001517342443</v>
      </c>
    </row>
    <row r="172" spans="1:12" x14ac:dyDescent="0.35">
      <c r="A172" t="s">
        <v>175</v>
      </c>
      <c r="B172">
        <v>193806.07165265799</v>
      </c>
      <c r="C172">
        <v>916.96262025859698</v>
      </c>
      <c r="D172">
        <v>6545.1739717867804</v>
      </c>
      <c r="E172">
        <v>13371.1891313994</v>
      </c>
      <c r="F172">
        <v>1073.69717554669</v>
      </c>
      <c r="H172">
        <f t="shared" si="11"/>
        <v>5.2873673787206297</v>
      </c>
      <c r="I172">
        <f t="shared" si="12"/>
        <v>2.9623516321298844</v>
      </c>
      <c r="J172">
        <f t="shared" si="13"/>
        <v>3.8159211946580296</v>
      </c>
      <c r="K172">
        <f t="shared" si="14"/>
        <v>4.1261700318125101</v>
      </c>
      <c r="L172">
        <f t="shared" si="15"/>
        <v>3.0308818106619624</v>
      </c>
    </row>
    <row r="173" spans="1:12" x14ac:dyDescent="0.35">
      <c r="A173" t="s">
        <v>176</v>
      </c>
      <c r="B173">
        <v>105749.483218371</v>
      </c>
      <c r="C173">
        <v>1946.1066466739601</v>
      </c>
      <c r="D173">
        <v>14348.841875124101</v>
      </c>
      <c r="E173">
        <v>32521.6174695312</v>
      </c>
      <c r="F173">
        <v>2366.9913205511598</v>
      </c>
      <c r="H173">
        <f t="shared" si="11"/>
        <v>5.024278253721234</v>
      </c>
      <c r="I173">
        <f t="shared" si="12"/>
        <v>3.2891666359287002</v>
      </c>
      <c r="J173">
        <f t="shared" si="13"/>
        <v>4.1568168496734827</v>
      </c>
      <c r="K173">
        <f t="shared" si="14"/>
        <v>4.5121721371871999</v>
      </c>
      <c r="L173">
        <f t="shared" si="15"/>
        <v>3.3741966654307101</v>
      </c>
    </row>
    <row r="174" spans="1:12" x14ac:dyDescent="0.35">
      <c r="A174" t="s">
        <v>177</v>
      </c>
      <c r="B174">
        <v>163428.46777717301</v>
      </c>
      <c r="C174">
        <v>2869.0027628881098</v>
      </c>
      <c r="D174">
        <v>22008.692391654102</v>
      </c>
      <c r="E174">
        <v>55268.481766771802</v>
      </c>
      <c r="F174">
        <v>3648.13990634435</v>
      </c>
      <c r="H174">
        <f t="shared" si="11"/>
        <v>5.2133277089998176</v>
      </c>
      <c r="I174">
        <f t="shared" si="12"/>
        <v>3.4577309664776061</v>
      </c>
      <c r="J174">
        <f t="shared" si="13"/>
        <v>4.3425942404652611</v>
      </c>
      <c r="K174">
        <f t="shared" si="14"/>
        <v>4.7424775346130845</v>
      </c>
      <c r="L174">
        <f t="shared" si="15"/>
        <v>3.562071485190434</v>
      </c>
    </row>
    <row r="175" spans="1:12" x14ac:dyDescent="0.35">
      <c r="A175" t="s">
        <v>178</v>
      </c>
      <c r="B175">
        <v>167914.33969602201</v>
      </c>
      <c r="C175">
        <v>3656.0632051019502</v>
      </c>
      <c r="D175">
        <v>40497.110562589201</v>
      </c>
      <c r="E175">
        <v>588498.81012955599</v>
      </c>
      <c r="F175">
        <v>7070.2855481373699</v>
      </c>
      <c r="H175">
        <f t="shared" si="11"/>
        <v>5.225087785982776</v>
      </c>
      <c r="I175">
        <f t="shared" si="12"/>
        <v>3.5630136951005609</v>
      </c>
      <c r="J175">
        <f t="shared" si="13"/>
        <v>4.6074240377458011</v>
      </c>
      <c r="K175">
        <f t="shared" si="14"/>
        <v>5.7697455890916194</v>
      </c>
      <c r="L175">
        <f t="shared" si="15"/>
        <v>3.8494369540339721</v>
      </c>
    </row>
    <row r="176" spans="1:12" x14ac:dyDescent="0.35">
      <c r="A176" t="s">
        <v>179</v>
      </c>
      <c r="B176">
        <v>53296.375487579797</v>
      </c>
      <c r="C176">
        <v>4807.0028415739698</v>
      </c>
      <c r="D176">
        <v>13523.429767019201</v>
      </c>
      <c r="E176">
        <v>16884.7149960809</v>
      </c>
      <c r="F176">
        <v>2019.8551819284</v>
      </c>
      <c r="H176">
        <f t="shared" si="11"/>
        <v>4.7266976750815939</v>
      </c>
      <c r="I176">
        <f t="shared" si="12"/>
        <v>3.6818743788541575</v>
      </c>
      <c r="J176">
        <f t="shared" si="13"/>
        <v>4.1310868498889022</v>
      </c>
      <c r="K176">
        <f t="shared" si="14"/>
        <v>4.227493734401456</v>
      </c>
      <c r="L176">
        <f t="shared" si="15"/>
        <v>3.3053202328406961</v>
      </c>
    </row>
    <row r="177" spans="1:12" x14ac:dyDescent="0.35">
      <c r="A177" t="s">
        <v>180</v>
      </c>
      <c r="B177">
        <v>77326.797541453605</v>
      </c>
      <c r="C177">
        <v>3160.7475590188801</v>
      </c>
      <c r="D177">
        <v>137171.253394153</v>
      </c>
      <c r="E177">
        <v>32627.780317066001</v>
      </c>
      <c r="F177">
        <v>57706.778525693197</v>
      </c>
      <c r="H177">
        <f t="shared" si="11"/>
        <v>4.8883300244173515</v>
      </c>
      <c r="I177">
        <f t="shared" si="12"/>
        <v>3.4997898112134882</v>
      </c>
      <c r="J177">
        <f t="shared" si="13"/>
        <v>5.137263106994844</v>
      </c>
      <c r="K177">
        <f t="shared" si="14"/>
        <v>4.513587529539036</v>
      </c>
      <c r="L177">
        <f t="shared" si="15"/>
        <v>4.7612268305456107</v>
      </c>
    </row>
    <row r="178" spans="1:12" x14ac:dyDescent="0.35">
      <c r="A178" t="s">
        <v>181</v>
      </c>
      <c r="B178">
        <v>131831.087010766</v>
      </c>
      <c r="C178">
        <v>5469.6783241057501</v>
      </c>
      <c r="D178">
        <v>40400.694512464099</v>
      </c>
      <c r="E178">
        <v>62929.410365807104</v>
      </c>
      <c r="F178">
        <v>5792.2267008602003</v>
      </c>
      <c r="H178">
        <f t="shared" si="11"/>
        <v>5.1200178330598707</v>
      </c>
      <c r="I178">
        <f t="shared" si="12"/>
        <v>3.7379617858994738</v>
      </c>
      <c r="J178">
        <f t="shared" si="13"/>
        <v>4.6063888309605607</v>
      </c>
      <c r="K178">
        <f t="shared" si="14"/>
        <v>4.7988536625265104</v>
      </c>
      <c r="L178">
        <f t="shared" si="15"/>
        <v>3.7628455512909373</v>
      </c>
    </row>
    <row r="179" spans="1:12" x14ac:dyDescent="0.35">
      <c r="A179" t="s">
        <v>182</v>
      </c>
      <c r="B179">
        <v>241589.761759838</v>
      </c>
      <c r="C179">
        <v>2011.31536072945</v>
      </c>
      <c r="D179">
        <v>15857.152293786899</v>
      </c>
      <c r="E179">
        <v>41026.8630363673</v>
      </c>
      <c r="F179">
        <v>2631.3241232335599</v>
      </c>
      <c r="H179">
        <f t="shared" si="11"/>
        <v>5.3830785255392355</v>
      </c>
      <c r="I179">
        <f t="shared" si="12"/>
        <v>3.3034801703913166</v>
      </c>
      <c r="J179">
        <f t="shared" si="13"/>
        <v>4.2002251972225677</v>
      </c>
      <c r="K179">
        <f t="shared" si="14"/>
        <v>4.6130683115543274</v>
      </c>
      <c r="L179">
        <f t="shared" si="15"/>
        <v>3.4201743472350041</v>
      </c>
    </row>
    <row r="180" spans="1:12" x14ac:dyDescent="0.35">
      <c r="A180" t="s">
        <v>183</v>
      </c>
      <c r="B180">
        <v>399802.43083821703</v>
      </c>
      <c r="C180">
        <v>11020.154803891801</v>
      </c>
      <c r="D180">
        <v>162372.93620503301</v>
      </c>
      <c r="E180">
        <v>303699.962233792</v>
      </c>
      <c r="F180">
        <v>29431.7595246735</v>
      </c>
      <c r="H180">
        <f t="shared" si="11"/>
        <v>5.6018454303434151</v>
      </c>
      <c r="I180">
        <f t="shared" si="12"/>
        <v>4.0421876952420623</v>
      </c>
      <c r="J180">
        <f t="shared" si="13"/>
        <v>5.2105136441398248</v>
      </c>
      <c r="K180">
        <f t="shared" si="14"/>
        <v>5.482444737912151</v>
      </c>
      <c r="L180">
        <f t="shared" si="15"/>
        <v>4.4688162263882383</v>
      </c>
    </row>
    <row r="181" spans="1:12" x14ac:dyDescent="0.35">
      <c r="A181" t="s">
        <v>184</v>
      </c>
      <c r="B181">
        <v>309236.17462077702</v>
      </c>
      <c r="C181">
        <v>9898.0831200800094</v>
      </c>
      <c r="D181">
        <v>178983.24868435899</v>
      </c>
      <c r="E181">
        <v>211989.404796963</v>
      </c>
      <c r="F181">
        <v>34293.424034741001</v>
      </c>
      <c r="H181">
        <f t="shared" si="11"/>
        <v>5.4902902922296137</v>
      </c>
      <c r="I181">
        <f t="shared" si="12"/>
        <v>3.9955510965190366</v>
      </c>
      <c r="J181">
        <f t="shared" si="13"/>
        <v>5.2528123865979026</v>
      </c>
      <c r="K181">
        <f t="shared" si="14"/>
        <v>5.3263141554891229</v>
      </c>
      <c r="L181">
        <f t="shared" si="15"/>
        <v>4.535210849511401</v>
      </c>
    </row>
    <row r="182" spans="1:12" x14ac:dyDescent="0.35">
      <c r="A182" t="s">
        <v>185</v>
      </c>
      <c r="B182">
        <v>119387.060670359</v>
      </c>
      <c r="C182">
        <v>1296.8779638282499</v>
      </c>
      <c r="D182">
        <v>10838.3297544376</v>
      </c>
      <c r="E182">
        <v>11787.349794719699</v>
      </c>
      <c r="F182">
        <v>1821.1472597147199</v>
      </c>
      <c r="H182">
        <f t="shared" si="11"/>
        <v>5.0769572599258881</v>
      </c>
      <c r="I182">
        <f t="shared" si="12"/>
        <v>3.1128991109109596</v>
      </c>
      <c r="J182">
        <f t="shared" si="13"/>
        <v>4.0349623602170652</v>
      </c>
      <c r="K182">
        <f t="shared" si="14"/>
        <v>4.07141617159989</v>
      </c>
      <c r="L182">
        <f t="shared" si="15"/>
        <v>3.2603450646833032</v>
      </c>
    </row>
    <row r="183" spans="1:12" x14ac:dyDescent="0.35">
      <c r="A183" t="s">
        <v>186</v>
      </c>
      <c r="B183">
        <v>16489.304872392499</v>
      </c>
      <c r="C183">
        <v>283.47933403491902</v>
      </c>
      <c r="D183">
        <v>2212.9721341315999</v>
      </c>
      <c r="E183">
        <v>5843.5365195623899</v>
      </c>
      <c r="F183">
        <v>367.627754010187</v>
      </c>
      <c r="H183">
        <f t="shared" si="11"/>
        <v>4.2172023477944673</v>
      </c>
      <c r="I183">
        <f t="shared" si="12"/>
        <v>2.4525214038224425</v>
      </c>
      <c r="J183">
        <f t="shared" si="13"/>
        <v>3.3449759453013774</v>
      </c>
      <c r="K183">
        <f t="shared" si="14"/>
        <v>3.7666757625362397</v>
      </c>
      <c r="L183">
        <f t="shared" si="15"/>
        <v>2.5654082909580289</v>
      </c>
    </row>
    <row r="184" spans="1:12" x14ac:dyDescent="0.35">
      <c r="A184" t="s">
        <v>187</v>
      </c>
      <c r="B184">
        <v>186488.53814034499</v>
      </c>
      <c r="C184">
        <v>1687.35335572392</v>
      </c>
      <c r="D184">
        <v>13935.2142704363</v>
      </c>
      <c r="E184">
        <v>15205.9100721796</v>
      </c>
      <c r="F184">
        <v>2337.5604418379398</v>
      </c>
      <c r="H184">
        <f t="shared" si="11"/>
        <v>5.270652144587765</v>
      </c>
      <c r="I184">
        <f t="shared" si="12"/>
        <v>3.2272060395372755</v>
      </c>
      <c r="J184">
        <f t="shared" si="13"/>
        <v>4.1441136508930754</v>
      </c>
      <c r="K184">
        <f t="shared" si="14"/>
        <v>4.1820124177388145</v>
      </c>
      <c r="L184">
        <f t="shared" si="15"/>
        <v>3.3687628491562456</v>
      </c>
    </row>
    <row r="185" spans="1:12" x14ac:dyDescent="0.35">
      <c r="A185" t="s">
        <v>188</v>
      </c>
      <c r="B185">
        <v>28531.1973407349</v>
      </c>
      <c r="C185">
        <v>492.86856437084703</v>
      </c>
      <c r="D185">
        <v>3832.12555170421</v>
      </c>
      <c r="E185">
        <v>9999.7633709464299</v>
      </c>
      <c r="F185">
        <v>636.28361793759404</v>
      </c>
      <c r="H185">
        <f t="shared" si="11"/>
        <v>4.4553199976494646</v>
      </c>
      <c r="I185">
        <f t="shared" si="12"/>
        <v>2.6927311193199785</v>
      </c>
      <c r="J185">
        <f t="shared" si="13"/>
        <v>3.583439729404184</v>
      </c>
      <c r="K185">
        <f t="shared" si="14"/>
        <v>3.9999897232091879</v>
      </c>
      <c r="L185">
        <f t="shared" si="15"/>
        <v>2.8036507418266803</v>
      </c>
    </row>
    <row r="186" spans="1:12" x14ac:dyDescent="0.35">
      <c r="A186" t="s">
        <v>189</v>
      </c>
      <c r="B186">
        <v>913465.65373660997</v>
      </c>
      <c r="C186">
        <v>15686.176968251601</v>
      </c>
      <c r="D186">
        <v>122569.906836927</v>
      </c>
      <c r="E186">
        <v>324572.35725171701</v>
      </c>
      <c r="F186">
        <v>20364.258617499199</v>
      </c>
      <c r="H186">
        <f t="shared" si="11"/>
        <v>5.960692222544508</v>
      </c>
      <c r="I186">
        <f t="shared" si="12"/>
        <v>4.1955171103235429</v>
      </c>
      <c r="J186">
        <f t="shared" si="13"/>
        <v>5.0883838559987886</v>
      </c>
      <c r="K186">
        <f t="shared" si="14"/>
        <v>5.5113115296484194</v>
      </c>
      <c r="L186">
        <f t="shared" si="15"/>
        <v>4.3088686037571513</v>
      </c>
    </row>
    <row r="187" spans="1:12" x14ac:dyDescent="0.35">
      <c r="A187" t="s">
        <v>190</v>
      </c>
      <c r="B187">
        <v>81573.510545863799</v>
      </c>
      <c r="C187">
        <v>1134.3263503972501</v>
      </c>
      <c r="D187">
        <v>7358.3068235128303</v>
      </c>
      <c r="E187">
        <v>12700.8268250689</v>
      </c>
      <c r="F187">
        <v>1195.1775591340399</v>
      </c>
      <c r="H187">
        <f t="shared" si="11"/>
        <v>4.9115491527312223</v>
      </c>
      <c r="I187">
        <f t="shared" si="12"/>
        <v>3.0547380208587125</v>
      </c>
      <c r="J187">
        <f t="shared" si="13"/>
        <v>3.866777892897169</v>
      </c>
      <c r="K187">
        <f t="shared" si="14"/>
        <v>4.103831994489533</v>
      </c>
      <c r="L187">
        <f t="shared" si="15"/>
        <v>3.0774324301576099</v>
      </c>
    </row>
    <row r="188" spans="1:12" x14ac:dyDescent="0.35">
      <c r="A188" t="s">
        <v>191</v>
      </c>
      <c r="B188">
        <v>63036.6942124454</v>
      </c>
      <c r="C188">
        <v>799.15659686760705</v>
      </c>
      <c r="D188">
        <v>8358.9212950761903</v>
      </c>
      <c r="E188">
        <v>8489.7001650448292</v>
      </c>
      <c r="F188">
        <v>1457.0403639301601</v>
      </c>
      <c r="H188">
        <f t="shared" si="11"/>
        <v>4.7995934296887013</v>
      </c>
      <c r="I188">
        <f t="shared" si="12"/>
        <v>2.9026318888155709</v>
      </c>
      <c r="J188">
        <f t="shared" si="13"/>
        <v>3.9221502360726634</v>
      </c>
      <c r="K188">
        <f t="shared" si="14"/>
        <v>3.9288923523209904</v>
      </c>
      <c r="L188">
        <f t="shared" si="15"/>
        <v>3.1634715830598479</v>
      </c>
    </row>
    <row r="189" spans="1:12" x14ac:dyDescent="0.35">
      <c r="A189" t="s">
        <v>192</v>
      </c>
      <c r="B189">
        <v>419733.54068554298</v>
      </c>
      <c r="C189">
        <v>7300.6480779044996</v>
      </c>
      <c r="D189">
        <v>56439.544138564997</v>
      </c>
      <c r="E189">
        <v>144856.46663554601</v>
      </c>
      <c r="F189">
        <v>9364.4228469224399</v>
      </c>
      <c r="H189">
        <f t="shared" si="11"/>
        <v>5.6229736748408277</v>
      </c>
      <c r="I189">
        <f t="shared" si="12"/>
        <v>3.8633614141156554</v>
      </c>
      <c r="J189">
        <f t="shared" si="13"/>
        <v>4.7515834973058171</v>
      </c>
      <c r="K189">
        <f t="shared" si="14"/>
        <v>5.1609378876063792</v>
      </c>
      <c r="L189">
        <f t="shared" si="15"/>
        <v>3.9714810158681306</v>
      </c>
    </row>
    <row r="190" spans="1:12" x14ac:dyDescent="0.35">
      <c r="A190" t="s">
        <v>193</v>
      </c>
      <c r="B190">
        <v>69996.395610416395</v>
      </c>
      <c r="C190">
        <v>746.46538803039198</v>
      </c>
      <c r="D190">
        <v>7248.0174839013198</v>
      </c>
      <c r="E190">
        <v>7539.2346589529998</v>
      </c>
      <c r="F190">
        <v>1246.77545213038</v>
      </c>
      <c r="H190">
        <f t="shared" si="11"/>
        <v>4.8450756770598353</v>
      </c>
      <c r="I190">
        <f t="shared" si="12"/>
        <v>2.8730096752413541</v>
      </c>
      <c r="J190">
        <f t="shared" si="13"/>
        <v>3.8602192322891633</v>
      </c>
      <c r="K190">
        <f t="shared" si="14"/>
        <v>3.8773272609541549</v>
      </c>
      <c r="L190">
        <f t="shared" si="15"/>
        <v>3.0957882428273957</v>
      </c>
    </row>
    <row r="191" spans="1:12" x14ac:dyDescent="0.35">
      <c r="A191" t="s">
        <v>194</v>
      </c>
      <c r="B191">
        <v>279949.72468828701</v>
      </c>
      <c r="C191">
        <v>2433.19405964613</v>
      </c>
      <c r="D191">
        <v>22674.913354103399</v>
      </c>
      <c r="E191">
        <v>23886.655088866901</v>
      </c>
      <c r="F191">
        <v>3873.8862142182202</v>
      </c>
      <c r="H191">
        <f t="shared" si="11"/>
        <v>5.4470800447318188</v>
      </c>
      <c r="I191">
        <f t="shared" si="12"/>
        <v>3.3861767475138613</v>
      </c>
      <c r="J191">
        <f t="shared" si="13"/>
        <v>4.3555456361993139</v>
      </c>
      <c r="K191">
        <f t="shared" si="14"/>
        <v>4.378155338609071</v>
      </c>
      <c r="L191">
        <f t="shared" si="15"/>
        <v>3.588146860249152</v>
      </c>
    </row>
    <row r="192" spans="1:12" x14ac:dyDescent="0.35">
      <c r="A192" t="s">
        <v>195</v>
      </c>
      <c r="B192">
        <v>54233.534281945103</v>
      </c>
      <c r="C192">
        <v>2973.1790995858801</v>
      </c>
      <c r="D192">
        <v>45377.023975057396</v>
      </c>
      <c r="E192">
        <v>17587.569128559699</v>
      </c>
      <c r="F192">
        <v>6181.4413883295801</v>
      </c>
      <c r="H192">
        <f t="shared" si="11"/>
        <v>4.7342679073882765</v>
      </c>
      <c r="I192">
        <f t="shared" si="12"/>
        <v>3.4732210712026106</v>
      </c>
      <c r="J192">
        <f t="shared" si="13"/>
        <v>4.6568360095393837</v>
      </c>
      <c r="K192">
        <f t="shared" si="14"/>
        <v>4.2452058174559086</v>
      </c>
      <c r="L192">
        <f t="shared" si="15"/>
        <v>3.7910897556726875</v>
      </c>
    </row>
    <row r="193" spans="1:12" x14ac:dyDescent="0.35">
      <c r="A193" t="s">
        <v>196</v>
      </c>
      <c r="B193">
        <v>1239762.5428098601</v>
      </c>
      <c r="C193">
        <v>2397.0472269924098</v>
      </c>
      <c r="D193">
        <v>18877.998605487701</v>
      </c>
      <c r="E193">
        <v>32661.200486505499</v>
      </c>
      <c r="F193">
        <v>3146.0643076213</v>
      </c>
      <c r="H193">
        <f t="shared" si="11"/>
        <v>6.0933385107889624</v>
      </c>
      <c r="I193">
        <f t="shared" si="12"/>
        <v>3.3796765906544923</v>
      </c>
      <c r="J193">
        <f t="shared" si="13"/>
        <v>4.2759559496725368</v>
      </c>
      <c r="K193">
        <f t="shared" si="14"/>
        <v>4.5140321435079134</v>
      </c>
      <c r="L193">
        <f t="shared" si="15"/>
        <v>3.4977675956425238</v>
      </c>
    </row>
    <row r="194" spans="1:12" x14ac:dyDescent="0.35">
      <c r="A194" t="s">
        <v>197</v>
      </c>
      <c r="B194">
        <v>62010.401676983398</v>
      </c>
      <c r="C194">
        <v>1007.4118000938701</v>
      </c>
      <c r="D194">
        <v>10175.894512175601</v>
      </c>
      <c r="E194">
        <v>10453.014261430801</v>
      </c>
      <c r="F194">
        <v>1762.5168394527</v>
      </c>
      <c r="H194">
        <f t="shared" si="11"/>
        <v>4.7924645445308309</v>
      </c>
      <c r="I194">
        <f t="shared" si="12"/>
        <v>3.0032070335632253</v>
      </c>
      <c r="J194">
        <f t="shared" si="13"/>
        <v>4.0075725962389397</v>
      </c>
      <c r="K194">
        <f t="shared" si="14"/>
        <v>4.019241542920148</v>
      </c>
      <c r="L194">
        <f t="shared" si="15"/>
        <v>3.2461332750231238</v>
      </c>
    </row>
    <row r="195" spans="1:12" x14ac:dyDescent="0.35">
      <c r="A195" t="s">
        <v>198</v>
      </c>
      <c r="B195">
        <v>301547.99200144899</v>
      </c>
      <c r="C195">
        <v>2940.7145140184002</v>
      </c>
      <c r="D195">
        <v>20986.333902665399</v>
      </c>
      <c r="E195">
        <v>42856.101039745699</v>
      </c>
      <c r="F195">
        <v>3442.6099149649399</v>
      </c>
      <c r="H195">
        <f t="shared" ref="H195:H201" si="16">LOG(B195)</f>
        <v>5.4793564408633673</v>
      </c>
      <c r="I195">
        <f t="shared" si="12"/>
        <v>3.468452865035959</v>
      </c>
      <c r="J195">
        <f t="shared" si="13"/>
        <v>4.3219365784155608</v>
      </c>
      <c r="K195">
        <f t="shared" si="14"/>
        <v>4.6320126572809937</v>
      </c>
      <c r="L195">
        <f t="shared" si="15"/>
        <v>3.5368878152181988</v>
      </c>
    </row>
    <row r="196" spans="1:12" x14ac:dyDescent="0.35">
      <c r="A196" t="s">
        <v>199</v>
      </c>
      <c r="B196">
        <v>104840.26755072099</v>
      </c>
      <c r="C196">
        <v>1848.1578783790101</v>
      </c>
      <c r="D196">
        <v>14128.2584901586</v>
      </c>
      <c r="E196">
        <v>35139.3397704698</v>
      </c>
      <c r="F196">
        <v>2340.87198667351</v>
      </c>
      <c r="H196">
        <f t="shared" si="16"/>
        <v>5.0205281205886942</v>
      </c>
      <c r="I196">
        <f t="shared" si="12"/>
        <v>3.2667390679555863</v>
      </c>
      <c r="J196">
        <f t="shared" si="13"/>
        <v>4.1500886321439223</v>
      </c>
      <c r="K196">
        <f t="shared" si="14"/>
        <v>4.5457935973204755</v>
      </c>
      <c r="L196">
        <f t="shared" si="15"/>
        <v>3.3693776644435576</v>
      </c>
    </row>
    <row r="197" spans="1:12" x14ac:dyDescent="0.35">
      <c r="A197" t="s">
        <v>200</v>
      </c>
      <c r="B197">
        <v>1871921.6032805899</v>
      </c>
      <c r="C197">
        <v>6005.7227144420804</v>
      </c>
      <c r="D197">
        <v>45378.390761254101</v>
      </c>
      <c r="E197">
        <v>105091.192565149</v>
      </c>
      <c r="F197">
        <v>7491.99238989683</v>
      </c>
      <c r="H197">
        <f t="shared" si="16"/>
        <v>6.2722876563809411</v>
      </c>
      <c r="I197">
        <f t="shared" si="12"/>
        <v>3.7785652768526949</v>
      </c>
      <c r="J197">
        <f t="shared" si="13"/>
        <v>4.6568490905815443</v>
      </c>
      <c r="K197">
        <f t="shared" si="14"/>
        <v>5.0215663203989953</v>
      </c>
      <c r="L197">
        <f t="shared" si="15"/>
        <v>3.8745973275623173</v>
      </c>
    </row>
    <row r="198" spans="1:12" x14ac:dyDescent="0.35">
      <c r="A198" t="s">
        <v>201</v>
      </c>
      <c r="B198">
        <v>78647.169225282807</v>
      </c>
      <c r="C198">
        <v>1359.7290630033699</v>
      </c>
      <c r="D198">
        <v>10564.816210106599</v>
      </c>
      <c r="E198">
        <v>27513.005013386199</v>
      </c>
      <c r="F198">
        <v>1754.02245636061</v>
      </c>
      <c r="H198">
        <f t="shared" si="16"/>
        <v>4.8956830955293773</v>
      </c>
      <c r="I198">
        <f t="shared" si="12"/>
        <v>3.1334523803078675</v>
      </c>
      <c r="J198">
        <f t="shared" si="13"/>
        <v>4.0238619462883971</v>
      </c>
      <c r="K198">
        <f t="shared" si="14"/>
        <v>4.4395380273020315</v>
      </c>
      <c r="L198">
        <f t="shared" si="15"/>
        <v>3.2440351492415758</v>
      </c>
    </row>
    <row r="199" spans="1:12" x14ac:dyDescent="0.35">
      <c r="A199" t="s">
        <v>202</v>
      </c>
      <c r="B199">
        <v>43500.257218005499</v>
      </c>
      <c r="C199">
        <v>543.16495477900003</v>
      </c>
      <c r="D199">
        <v>3634.7054044613701</v>
      </c>
      <c r="E199">
        <v>6595.4994617790198</v>
      </c>
      <c r="F199">
        <v>592.20732077568596</v>
      </c>
      <c r="H199">
        <f t="shared" si="16"/>
        <v>4.6384918249553309</v>
      </c>
      <c r="I199">
        <f t="shared" si="12"/>
        <v>2.7349317413219936</v>
      </c>
      <c r="J199">
        <f t="shared" si="13"/>
        <v>3.5604692167352092</v>
      </c>
      <c r="K199">
        <f t="shared" si="14"/>
        <v>3.8192476892351008</v>
      </c>
      <c r="L199">
        <f t="shared" si="15"/>
        <v>2.7724737717679582</v>
      </c>
    </row>
    <row r="200" spans="1:12" x14ac:dyDescent="0.35">
      <c r="A200" t="s">
        <v>203</v>
      </c>
      <c r="B200">
        <v>5982.2391776435798</v>
      </c>
      <c r="C200">
        <v>649.08167758038098</v>
      </c>
      <c r="D200">
        <v>1958.8910775817999</v>
      </c>
      <c r="E200">
        <v>1993.79051045097</v>
      </c>
      <c r="F200">
        <v>287.29437585670598</v>
      </c>
      <c r="H200">
        <f t="shared" si="16"/>
        <v>3.7768637726963483</v>
      </c>
      <c r="I200">
        <f t="shared" si="12"/>
        <v>2.8122993499444884</v>
      </c>
      <c r="J200">
        <f t="shared" si="13"/>
        <v>3.2920102881027939</v>
      </c>
      <c r="K200">
        <f t="shared" si="14"/>
        <v>3.2996795246202306</v>
      </c>
      <c r="L200">
        <f t="shared" si="15"/>
        <v>2.4583271242226967</v>
      </c>
    </row>
    <row r="201" spans="1:12" x14ac:dyDescent="0.35">
      <c r="A201" t="s">
        <v>204</v>
      </c>
      <c r="B201">
        <v>572927.04184580594</v>
      </c>
      <c r="C201">
        <v>4659.9579257597297</v>
      </c>
      <c r="D201">
        <v>42693.5660765926</v>
      </c>
      <c r="E201">
        <v>45206.930768928803</v>
      </c>
      <c r="F201">
        <v>7274.0376088761795</v>
      </c>
      <c r="H201">
        <f t="shared" si="16"/>
        <v>5.7580993211975118</v>
      </c>
      <c r="I201">
        <f t="shared" si="12"/>
        <v>3.6683819955112726</v>
      </c>
      <c r="J201">
        <f t="shared" si="13"/>
        <v>4.630362431747117</v>
      </c>
      <c r="K201">
        <f t="shared" si="14"/>
        <v>4.6552050225095023</v>
      </c>
      <c r="L201">
        <f t="shared" si="15"/>
        <v>3.8617755421524533</v>
      </c>
    </row>
    <row r="205" spans="1:12" x14ac:dyDescent="0.35">
      <c r="A205" t="s">
        <v>205</v>
      </c>
      <c r="B205">
        <f>SUM(B2:B201)</f>
        <v>60547872.093215033</v>
      </c>
      <c r="C205">
        <f t="shared" ref="C205:F205" si="17">SUM(C2:C201)</f>
        <v>1140213.0517301422</v>
      </c>
      <c r="D205">
        <f t="shared" si="17"/>
        <v>6664021.0910711735</v>
      </c>
      <c r="E205">
        <f t="shared" si="17"/>
        <v>14561797.122669494</v>
      </c>
      <c r="F205">
        <f t="shared" si="17"/>
        <v>1080836.1935000396</v>
      </c>
    </row>
    <row r="206" spans="1:12" x14ac:dyDescent="0.35">
      <c r="A206" t="s">
        <v>206</v>
      </c>
      <c r="B206">
        <f>AVERAGE(B2:B201)</f>
        <v>302739.36046607519</v>
      </c>
      <c r="C206">
        <f>AVERAGE(C2:C201)</f>
        <v>5701.0652586507113</v>
      </c>
      <c r="D206">
        <f>AVERAGE(D2:D201)</f>
        <v>33320.105455355864</v>
      </c>
      <c r="E206">
        <f>AVERAGE(E2:E201)</f>
        <v>72808.985613347468</v>
      </c>
      <c r="F206">
        <f>AVERAGE(F2:F201)</f>
        <v>5404.1809675001978</v>
      </c>
    </row>
    <row r="207" spans="1:12" x14ac:dyDescent="0.35">
      <c r="A207" t="s">
        <v>207</v>
      </c>
      <c r="B207">
        <f>MEDIAN(B2:B201)</f>
        <v>149958.58883481449</v>
      </c>
      <c r="C207">
        <f t="shared" ref="C207:F207" si="18">MEDIAN(C2:C201)</f>
        <v>2346.3580160727552</v>
      </c>
      <c r="D207">
        <f t="shared" si="18"/>
        <v>17984.716765289249</v>
      </c>
      <c r="E207">
        <f t="shared" si="18"/>
        <v>32574.698893298599</v>
      </c>
      <c r="F207">
        <f t="shared" si="18"/>
        <v>2992.6395296447299</v>
      </c>
    </row>
    <row r="208" spans="1:12" x14ac:dyDescent="0.35">
      <c r="B208">
        <f>B207/B206</f>
        <v>0.49533892323729994</v>
      </c>
      <c r="C208">
        <f t="shared" ref="C208:F208" si="19">C207/C206</f>
        <v>0.41156484088871403</v>
      </c>
      <c r="D208">
        <f t="shared" si="19"/>
        <v>0.53975569763385578</v>
      </c>
      <c r="E208">
        <f t="shared" si="19"/>
        <v>0.44739943317280539</v>
      </c>
      <c r="F208">
        <f t="shared" si="19"/>
        <v>0.55376375211006856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Gravity_calc</vt:lpstr>
      <vt:lpstr>Sum</vt:lpstr>
      <vt:lpstr>Mean and median</vt:lpstr>
      <vt:lpstr>Mean and median (log transform)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caouette</cp:lastModifiedBy>
  <dcterms:created xsi:type="dcterms:W3CDTF">2021-04-18T14:23:12Z</dcterms:created>
  <dcterms:modified xsi:type="dcterms:W3CDTF">2021-04-21T13:46:44Z</dcterms:modified>
</cp:coreProperties>
</file>